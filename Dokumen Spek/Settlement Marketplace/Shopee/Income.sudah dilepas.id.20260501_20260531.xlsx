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jpeg" ContentType="image/jpeg"/>
  <Default Extension="png" ContentType="image/png"/>
  <Default Extension="svg" ContentType="image/svg"/>
  <Default Extension="emf" ContentType="image/x-emf"/>
  <Default Extension="wmf" ContentType="image/x-wmf"/>
  <Default Extension="bmp" ContentType="image/bmp"/>
  <Default Extension="gif" ContentType="image/gif"/>
  <Default Extension="tiff" ContentType="image/tif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activeTab="1"/>
  </bookViews>
  <sheets>
    <sheet name="Summary" sheetId="2" r:id="rId2" state="visible"/>
    <sheet name="Income" sheetId="1" r:id="rId1" state="visible"/>
    <sheet name="Seller Fee" sheetId="3" r:id="rId3" state="visible"/>
  </sheets>
  <definedNames/>
  <calcPr iterateCount="100" iterateDelta="0.001" refMode="A1"/>
</workbook>
</file>

<file path=xl/sharedStrings.xml><?xml version="1.0" encoding="utf-8"?>
<sst xmlns="http://schemas.openxmlformats.org/spreadsheetml/2006/main" count="202" uniqueCount="202">
  <si>
    <t>Username (Penjual)</t>
  </si>
  <si>
    <t>Dari</t>
  </si>
  <si>
    <t>ke</t>
  </si>
  <si>
    <t>hagosperfume</t>
  </si>
  <si>
    <t>2026-05-01</t>
  </si>
  <si>
    <t>2026-05-31</t>
  </si>
  <si>
    <t>total(Rp)</t>
  </si>
  <si>
    <t>No.</t>
  </si>
  <si>
    <t>No. Pesanan</t>
  </si>
  <si>
    <t>No. Pengajuan</t>
  </si>
  <si>
    <t>Username (Pembeli)</t>
  </si>
  <si>
    <t>Waktu Pesanan Dibuat</t>
  </si>
  <si>
    <t>Metode pembayaran pembeli</t>
  </si>
  <si>
    <t>Tanggal Dana Dilepaskan</t>
  </si>
  <si>
    <t>Harga Asli Produk</t>
  </si>
  <si>
    <t>Total Diskon Produk</t>
  </si>
  <si>
    <t>Jumlah Pengembalian Dana ke Pembeli</t>
  </si>
  <si>
    <t>Diskon Produk dari Shopee</t>
  </si>
  <si>
    <t>Voucher disponsor oleh Penjual</t>
  </si>
  <si>
    <t>Voucher co-fund disponsor oleh Penjual</t>
  </si>
  <si>
    <t>Cashback Koin disponsori Penjual</t>
  </si>
  <si>
    <t>Cashback Koin Co-fund disponsori Penjual</t>
  </si>
  <si>
    <t>Ongkir Dibayar Pembeli</t>
  </si>
  <si>
    <t>Diskon Ongkir Ditanggung Jasa Kirim</t>
  </si>
  <si>
    <t>Gratis Ongkir dari Shopee</t>
  </si>
  <si>
    <t>Ongkir yang Diteruskan oleh Shopee ke Jasa Kirim</t>
  </si>
  <si>
    <t>Ongkos Kirim Pengembalian Barang</t>
  </si>
  <si>
    <t>Kembali ke Biaya Pengiriman Pengirim</t>
  </si>
  <si>
    <t>Pengembalian Biaya Kirim</t>
  </si>
  <si>
    <t>Biaya Komisi AMS</t>
  </si>
  <si>
    <t>Biaya Administrasi</t>
  </si>
  <si>
    <t>Biaya Layanan</t>
  </si>
  <si>
    <t>Biaya Proses Pesanan</t>
  </si>
  <si>
    <t>Premi</t>
  </si>
  <si>
    <t>Biaya Program Hemat Biaya Kirim</t>
  </si>
  <si>
    <t>Biaya Transaksi</t>
  </si>
  <si>
    <t>Biaya Kampanye</t>
  </si>
  <si>
    <t>Bea Masuk, PPN &amp; PPh</t>
  </si>
  <si>
    <t>Biaya Isi Saldo Otomatis (dari Penghasilan)</t>
  </si>
  <si>
    <t>Total Penghasilan</t>
  </si>
  <si>
    <t>Kode Voucher</t>
  </si>
  <si>
    <t>Kompensasi</t>
  </si>
  <si>
    <t>Promo Gratis Ongkir dari Penjual</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</si>
  <si>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</si>
  <si>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</si>
  <si>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</si>
  <si>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</si>
  <si>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</si>
  <si>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</si>
  <si>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</si>
  <si>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2605139M5F7AMS</t>
  </si>
  <si>
    <t>1z_dpbc9hd</t>
  </si>
  <si>
    <t>2026-05-13</t>
  </si>
  <si>
    <t>SPayLater</t>
  </si>
  <si>
    <t>Hemat Kargo</t>
  </si>
  <si>
    <t>SPX Hemat</t>
  </si>
  <si>
    <t>26052375Y0544G</t>
  </si>
  <si>
    <t>naryapraja</t>
  </si>
  <si>
    <t>2026-05-23</t>
  </si>
  <si>
    <t>SeaBank Bayar Instan</t>
  </si>
  <si>
    <t>Reguler</t>
  </si>
  <si>
    <t>SPX Standard</t>
  </si>
  <si>
    <t>260528HS3CW3CT</t>
  </si>
  <si>
    <t>marinimomoy</t>
  </si>
  <si>
    <t>2026-05-28</t>
  </si>
  <si>
    <t>Saldo ShopeePay</t>
  </si>
  <si>
    <t>2605223X40JGTD</t>
  </si>
  <si>
    <t>denisetya178</t>
  </si>
  <si>
    <t>2026-05-22</t>
  </si>
  <si>
    <t>2026-05-30</t>
  </si>
  <si>
    <t>260525A2W4330M</t>
  </si>
  <si>
    <t>arizkalemtenan</t>
  </si>
  <si>
    <t>2026-05-25</t>
  </si>
  <si>
    <t>Online Payment</t>
  </si>
  <si>
    <t>2026-05-29</t>
  </si>
  <si>
    <t>2605248CJ82GD5</t>
  </si>
  <si>
    <t>rizaladitya_197</t>
  </si>
  <si>
    <t>2026-05-24</t>
  </si>
  <si>
    <t>QRIS</t>
  </si>
  <si>
    <t>260525B13B6607</t>
  </si>
  <si>
    <t>affansyah11</t>
  </si>
  <si>
    <t>260516JJ9GSGG6</t>
  </si>
  <si>
    <t>khudzaifah83</t>
  </si>
  <si>
    <t>2026-05-16</t>
  </si>
  <si>
    <t>2605223KXMB42B</t>
  </si>
  <si>
    <t>rama_candra20</t>
  </si>
  <si>
    <t>2605211A25Q0Q6</t>
  </si>
  <si>
    <t>desnat29</t>
  </si>
  <si>
    <t>2026-05-21</t>
  </si>
  <si>
    <t>260521149MHC5G</t>
  </si>
  <si>
    <t>abdulbasit91</t>
  </si>
  <si>
    <t>260518QE9JX9EE</t>
  </si>
  <si>
    <t>nasrullah_01</t>
  </si>
  <si>
    <t>2026-05-18</t>
  </si>
  <si>
    <t>260517MTD4QAW3</t>
  </si>
  <si>
    <t>dimasramadhonsyah</t>
  </si>
  <si>
    <t>2026-05-17</t>
  </si>
  <si>
    <t>260515DYUNMP57</t>
  </si>
  <si>
    <t>stynrzzh24</t>
  </si>
  <si>
    <t>2026-05-15</t>
  </si>
  <si>
    <t>260511616D54XP</t>
  </si>
  <si>
    <t>ahmadhs02</t>
  </si>
  <si>
    <t>2026-05-11</t>
  </si>
  <si>
    <t>2605128B87DV69</t>
  </si>
  <si>
    <t>candraputrap23</t>
  </si>
  <si>
    <t>2026-05-12</t>
  </si>
  <si>
    <t>2605115JDN0SR1</t>
  </si>
  <si>
    <t>gegeyliliana</t>
  </si>
  <si>
    <t>260510364JGGAQ</t>
  </si>
  <si>
    <t>numbers01</t>
  </si>
  <si>
    <t>2026-05-10</t>
  </si>
  <si>
    <t>2026-05-14</t>
  </si>
  <si>
    <t>260509W1896FV6</t>
  </si>
  <si>
    <t>adhita31</t>
  </si>
  <si>
    <t>2026-05-09</t>
  </si>
  <si>
    <t>260506PKSM1CU6</t>
  </si>
  <si>
    <t>bngdfa</t>
  </si>
  <si>
    <t>2026-05-06</t>
  </si>
  <si>
    <t>260505K75JCENX</t>
  </si>
  <si>
    <t>endranursafri</t>
  </si>
  <si>
    <t>2026-05-05</t>
  </si>
  <si>
    <t>260505M00CU7YV</t>
  </si>
  <si>
    <t>muhammaddafaalfarel</t>
  </si>
  <si>
    <t>260505K8A2MV1C</t>
  </si>
  <si>
    <t>alsyarif95</t>
  </si>
  <si>
    <t>260505HX0XVMDG</t>
  </si>
  <si>
    <t>ketlitju</t>
  </si>
  <si>
    <t>260507QQP2UA6F</t>
  </si>
  <si>
    <t>rifa.88</t>
  </si>
  <si>
    <t>2026-05-07</t>
  </si>
  <si>
    <t>260506PGH7A3F8</t>
  </si>
  <si>
    <t>evankrisdianwidodo</t>
  </si>
  <si>
    <t>260503DTKF3Q83</t>
  </si>
  <si>
    <t>bagus.swn</t>
  </si>
  <si>
    <t>2026-05-03</t>
  </si>
  <si>
    <t>2026-05-08</t>
  </si>
  <si>
    <t>260502C8UKGYVN</t>
  </si>
  <si>
    <t>nasyaqowiyan</t>
  </si>
  <si>
    <t>2026-05-02</t>
  </si>
  <si>
    <t>2604282GWRKJNG</t>
  </si>
  <si>
    <t>monwrrbno4</t>
  </si>
  <si>
    <t>2026-04-28</t>
  </si>
  <si>
    <t>260504FBGVS7AU</t>
  </si>
  <si>
    <t>matsanggi99</t>
  </si>
  <si>
    <t>2026-05-04</t>
  </si>
  <si>
    <t>260427VQF06H99</t>
  </si>
  <si>
    <t>ngurahamak</t>
  </si>
  <si>
    <t>2026-04-27</t>
  </si>
  <si>
    <t>2604294V271EYU</t>
  </si>
  <si>
    <t>2026-04-29</t>
  </si>
  <si>
    <t>26042948YR16M1</t>
  </si>
  <si>
    <t>_andanaputri30051995</t>
  </si>
  <si>
    <t>260425QEFU694V</t>
  </si>
  <si>
    <t>restu0235</t>
  </si>
  <si>
    <t>2026-04-25</t>
  </si>
  <si>
    <t>COD (Bayar di Tempat)</t>
  </si>
  <si>
    <t>260425QT1DQAWU</t>
  </si>
  <si>
    <t>r_cthyj7bq</t>
  </si>
  <si>
    <t>Laporan Penghasilan</t>
  </si>
  <si>
    <t>Rincian Laporan</t>
  </si>
  <si>
    <t>Ringkasan Penghasilan</t>
  </si>
  <si>
    <t>Rp</t>
  </si>
  <si>
    <t>1. Total Pendapatan</t>
  </si>
  <si>
    <t>Subtotal Pesanan</t>
  </si>
  <si>
    <t>Voucher &amp; Subsidi Shopee</t>
  </si>
  <si>
    <t>2. Total Pengeluaran</t>
  </si>
  <si>
    <t>Total Biaya Pengiriman</t>
  </si>
  <si>
    <t>Biaya Admin &amp; Layanan</t>
  </si>
  <si>
    <t>3. Total yang Dilepas</t>
  </si>
  <si>
    <t>Nilai Lainnya</t>
  </si>
  <si>
    <t>ID Produk</t>
  </si>
  <si>
    <t>Nama Produk</t>
  </si>
  <si>
    <t>Biaya Layanan Gratis Ongkir XTRA (Kategori D)</t>
  </si>
  <si>
    <t>Biaya Layanan Gratis Ongkir XTRA - Ukuran Biasa (Kategori D)</t>
  </si>
  <si>
    <t>Biaya Layanan Promo XTRA</t>
  </si>
  <si>
    <t>Order</t>
  </si>
  <si>
    <t>-</t>
  </si>
  <si>
    <t>Sku</t>
  </si>
  <si>
    <t>No. 46 AIGNER BLUE for Men - HAGOS PARFUM</t>
  </si>
  <si>
    <t>No. 38 Vanilla Cake (VANCA) parfum aroma kue  for UNISEX - HAGOS PARFUM</t>
  </si>
  <si>
    <t>No. 66 PRAMUGARI (AIRHOSTEST) aroma pramugari for Women - HAGOS PARFUM</t>
  </si>
  <si>
    <t>No. 58 212 MEN for Men - HAGOS PARFUM</t>
  </si>
  <si>
    <t>No. 20 ONE MILLION LUCKY for Men - HAGOS PARFUM</t>
  </si>
  <si>
    <t>No. 19 SUAVAGE for Men - HAGOS PARFUM</t>
  </si>
  <si>
    <t>No. 47 BLACK BENZ for Men - HAGOS PARFUM</t>
  </si>
  <si>
    <t>No. 05 LIBRE for Women - HAGOS PARFUM</t>
  </si>
  <si>
    <t>No. 43 CUDDLE (AROMA BEDAK BAYI) for M&amp;W - HAGOS PARFUM</t>
  </si>
  <si>
    <t>No. 01 BOMBSHELL for Women - HAGOS PARFUM</t>
  </si>
  <si>
    <t>No. 28 ROMANTIC WISH for Women - HAGOS PARFUM</t>
  </si>
  <si>
    <t>No. 52 BLOOMING BOUQUET  for WOMEN - HAGOS PARFUM</t>
  </si>
  <si>
    <t>No. 07 ENGLISH PEAR for Women - HAGOS PARFUM</t>
  </si>
  <si>
    <t>No. 35 SCANDALOUS for Women - HAGOS PARFUM</t>
  </si>
  <si>
    <t>No. 34 BLGR AQVA PH for MEN - HAGOS PARFUM</t>
  </si>
  <si>
    <t>No.14 ACQUA DI GIO for Men - HAGOS PARFUM</t>
  </si>
  <si>
    <t>No. 11 LAMBOR for Men - HAGOS PARFUM</t>
  </si>
  <si>
    <t>No. 13 Guc GARDENIA for Women - HAGOS PARFUM</t>
  </si>
  <si>
    <t>No. 41 TERRE d'HERMES for MEN - HAGOS PARFUM</t>
  </si>
  <si>
    <t>No. 62 LACOSSPORT for Men - HAGOS PARFUM</t>
  </si>
  <si>
    <t>No. 75 AQUA KISS for Women - HAGOS PARFUM</t>
  </si>
  <si>
    <t>No. 42 CRD AVENTUS for MEN - HAGOS PARFUM</t>
  </si>
  <si>
    <t>No. 40 D. BLUE for Men - HAGOS PARFUM</t>
  </si>
  <si>
    <t>No. 56 RED TABAC for Men - HAGOS PARFUM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</si>
</sst>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name val="Arial"/>
      <family val="0"/>
      <charset val="0"/>
    </font>
    <font>
      <sz val="10"/>
      <color rgb="FF000000"/>
      <name val="Arial"/>
      <family val="0"/>
      <charset val="134"/>
    </font>
    <font>
      <sz val="12"/>
      <color rgb="FF000000"/>
      <name val="Arial"/>
      <family val="0"/>
      <charset val="134"/>
    </font>
    <font>
      <b val="1"/>
      <sz val="15"/>
      <color rgb="FF000000"/>
      <name val="Arial"/>
      <family val="0"/>
      <charset val="134"/>
    </font>
    <font>
      <b val="1"/>
      <sz val="14"/>
      <color rgb="FF000000"/>
      <name val="Arial"/>
      <family val="0"/>
      <charset val="134"/>
    </font>
    <font>
      <sz val="14"/>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sz val="12"/>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20">
    <xf numFmtId="0" fontId="0" fillId="0" borderId="0" applyNumberFormat="false" applyFont="false" applyFill="false" applyBorder="false" applyAlignment="false" applyProtection="false">
      <alignment horizontal="general" vertical="bottom"/>
    </xf>
    <xf numFmtId="0" fontId="0" fillId="0" borderId="0" applyNumberFormat="false" applyFont="false" applyFill="false" applyBorder="false" applyAlignment="false" applyProtection="false">
      <alignment horizontal="general" vertical="bottom"/>
    </xf>
    <xf numFmtId="0" fontId="1" fillId="0" borderId="1" xfId="0" applyNumberFormat="false" applyFont="true" applyFill="false" applyBorder="false" applyAlignment="false" applyProtection="false">
      <alignment horizontal="general" vertical="bottom"/>
    </xf>
    <xf numFmtId="0" fontId="1" fillId="0" borderId="1" xfId="0" applyNumberFormat="false" applyFont="true" applyFill="false" applyBorder="false" applyAlignment="true" applyProtection="false">
      <alignment horizontal="left" vertical="bottom"/>
    </xf>
    <xf numFmtId="0" fontId="2" fillId="0" borderId="1" xfId="0" applyNumberFormat="false" applyFont="true" applyFill="false" applyBorder="false" applyAlignment="false" applyProtection="false">
      <alignment horizontal="general" vertical="bottom"/>
    </xf>
    <xf numFmtId="0" fontId="3" fillId="0" borderId="2" xfId="0" applyNumberFormat="false" applyFont="true" applyFill="false" applyBorder="true" applyAlignment="true" applyProtection="false">
      <alignment horizontal="right" vertical="center" wrapText="true"/>
    </xf>
    <xf numFmtId="0" fontId="4" fillId="0" borderId="2" xfId="0" applyNumberFormat="false" applyFont="true" applyFill="false" applyBorder="true" applyAlignment="true" applyProtection="false">
      <alignment horizontal="right" vertical="center" wrapText="true"/>
    </xf>
    <xf numFmtId="0" fontId="5" fillId="2" borderId="2" xfId="0" applyNumberFormat="false" applyFont="true" applyFill="true" applyBorder="true" applyAlignment="true" applyProtection="false">
      <alignment horizontal="general" vertical="bottom" wrapText="true"/>
    </xf>
    <xf numFmtId="0" fontId="1" fillId="3" borderId="2" xfId="0" applyNumberFormat="false" applyFont="true" applyFill="true" applyBorder="true" applyAlignment="true" applyProtection="false">
      <alignment horizontal="general" vertical="bottom" wrapText="true"/>
    </xf>
    <xf numFmtId="0" fontId="1"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5"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1"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11" fillId="0" borderId="1" xfId="0" applyNumberFormat="false" applyFont="false" applyFill="false" applyBorder="false" applyAlignment="false" applyProtection="false">
      <alignment horizontal="general" vertical="bottom"/>
    </xf>
    <xf numFmtId="0" fontId="1"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xl/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AR41"/>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style="1" width="10"/>
    <col customWidth="true" max="1" min="1" width="10"/>
    <col customWidth="true" max="3" min="2" style="1" width="10"/>
    <col customWidth="true" max="3" min="3" style="1" width="10"/>
    <col customWidth="true" max="4" min="3"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8" min="7" style="1" width="10"/>
    <col customWidth="true" max="8" min="8" style="1" width="10"/>
    <col customWidth="true" max="9" min="8" style="1" width="10"/>
    <col customWidth="true" max="9" min="9" style="1" width="10"/>
    <col customWidth="true" max="10" min="9" style="1" width="10"/>
    <col customWidth="true" max="10" min="10" style="1" width="10"/>
    <col customWidth="true" max="11" min="10" style="1" width="10"/>
    <col customWidth="true" max="11" min="11" style="1" width="10"/>
    <col customWidth="true" max="12" min="11" style="1" width="10"/>
    <col customWidth="true" max="12" min="12" style="1" width="10"/>
    <col customWidth="true" max="13" min="12" style="1" width="10"/>
    <col customWidth="true" max="13" min="13" style="1" width="10"/>
    <col customWidth="true" max="14" min="13" style="1" width="10"/>
    <col customWidth="true" max="14" min="14" style="1" width="10"/>
    <col customWidth="true" max="15" min="14" style="1" width="10"/>
    <col customWidth="true" max="15" min="15" style="1" width="10"/>
    <col customWidth="true" max="16" min="15" style="1" width="10"/>
    <col customWidth="true" max="16" min="16" style="1" width="10"/>
    <col customWidth="true" max="17" min="16" style="1" width="10"/>
    <col customWidth="true" max="17" min="17" style="1" width="10"/>
    <col customWidth="true" max="18" min="17" style="1" width="10"/>
    <col customWidth="true" max="18" min="18" style="1" width="10"/>
    <col customWidth="true" max="19" min="18" style="1" width="10"/>
    <col customWidth="true" max="19" min="19" style="1" width="10"/>
    <col customWidth="true" max="20" min="19" style="1" width="10"/>
    <col customWidth="true" max="20" min="20" style="1" width="10"/>
    <col customWidth="true" max="21" min="20" style="1" width="10"/>
    <col customWidth="true" max="21" min="21" style="1" width="10"/>
    <col customWidth="true" max="22" min="21" style="1" width="10"/>
    <col customWidth="true" max="22" min="22" style="1" width="10"/>
    <col customWidth="true" max="23" min="22" style="1" width="10"/>
    <col customWidth="true" max="23" min="23" style="1" width="10"/>
    <col customWidth="true" max="24" min="23" style="1" width="10"/>
    <col customWidth="true" max="24" min="24" style="1" width="10"/>
    <col customWidth="true" max="25" min="24" style="1" width="10"/>
    <col customWidth="true" max="25" min="25" style="1" width="10"/>
    <col customWidth="true" max="26" min="25" style="1" width="10"/>
    <col customWidth="true" max="26" min="26" style="1" width="10"/>
    <col customWidth="true" max="27" min="26" style="1" width="10"/>
    <col customWidth="true" max="27" min="27" style="1" width="10"/>
    <col customWidth="true" max="28" min="27" style="1" width="10"/>
    <col customWidth="true" max="28" min="28" style="1" width="10"/>
    <col customWidth="true" max="29" min="28" style="1" width="10"/>
    <col customWidth="true" max="29" min="29" style="1" width="10"/>
    <col customWidth="true" max="30" min="29" style="1" width="10"/>
    <col customWidth="true" max="30" min="30" style="1" width="10"/>
    <col customWidth="true" max="31" min="30" style="1" width="10"/>
    <col customWidth="true" max="31" min="31" style="1" width="10"/>
    <col customWidth="true" max="32" min="31" style="1" width="10"/>
    <col customWidth="true" max="32" min="32" style="1" width="10"/>
    <col customWidth="true" max="33" min="32" style="1" width="10"/>
    <col customWidth="true" max="33" min="33" style="1" width="10"/>
    <col customWidth="true" max="34" min="33" style="1" width="10"/>
    <col customWidth="true" max="34" min="34" style="1" width="10"/>
    <col customWidth="true" max="35" min="34" style="1" width="10"/>
    <col customWidth="true" max="35" min="35" style="1" width="10"/>
    <col customWidth="true" max="36" min="35" style="1" width="10"/>
    <col customWidth="true" max="36" min="36" style="1" width="10"/>
    <col customWidth="true" max="37" min="36" style="1" width="10"/>
    <col customWidth="true" max="37" min="37" style="1" width="10"/>
    <col customWidth="true" max="38" min="37" style="1" width="10"/>
    <col customWidth="true" max="38" min="38" style="1" width="10"/>
    <col customWidth="true" max="39" min="38" style="1" width="10"/>
    <col customWidth="true" max="39" min="39" style="1" width="10"/>
    <col customWidth="true" max="40" min="39" style="1" width="10"/>
    <col customWidth="true" max="40" min="40" style="1" width="10"/>
    <col customWidth="true" max="41" min="40" style="1" width="10"/>
    <col customWidth="true" max="41" min="41" style="1" width="10"/>
    <col customWidth="true" max="42" min="41" style="1" width="10"/>
    <col customWidth="true" max="42" min="42" style="1" width="10"/>
    <col customWidth="true" max="43" min="42" style="1" width="10"/>
    <col customWidth="true" max="43" min="43" style="1" width="10"/>
    <col customWidth="true" max="44" min="43" style="1" width="10"/>
    <col customWidth="true" max="44" min="44" style="1" width="10"/>
    <col customWidth="true" max="44" min="44" style="1" width="10"/>
  </cols>
  <sheetData>
    <row r="1">
      <c r="A1" s="2" t="s">
        <v>0</v>
      </c>
      <c r="B1" s="2" t="s">
        <v>1</v>
      </c>
      <c r="C1" s="2" t="s">
        <v>2</v>
      </c>
    </row>
    <row r="2">
      <c r="A2" s="2" t="s">
        <v>3</v>
      </c>
      <c r="B2" s="2" t="s">
        <v>4</v>
      </c>
      <c r="C2" s="2" t="s">
        <v>5</v>
      </c>
    </row>
    <row r="3">
      <c r="A3" s="2" t="s"/>
    </row>
    <row r="4"/>
    <row r="5">
      <c r="A5" s="3" t="s">
        <v>6</v>
      </c>
      <c r="B5" s="3" t="s"/>
      <c r="C5" s="3" t="s"/>
      <c r="D5" s="3" t="s"/>
      <c r="E5" s="3" t="s"/>
      <c r="F5" s="3" t="s"/>
      <c r="G5" s="3" t="s"/>
      <c r="H5" s="3">
        <f>=SUM(INDIRECT(ADDRESS(6,8)):INDIRECT(ADDRESS(1048576,8)))</f>
      </c>
      <c r="I5" s="3">
        <f>=SUM(INDIRECT(ADDRESS(6,9)):INDIRECT(ADDRESS(1048576,9)))</f>
      </c>
      <c r="J5" s="3">
        <f>=SUM(INDIRECT(ADDRESS(6,10)):INDIRECT(ADDRESS(1048576,10)))</f>
      </c>
      <c r="K5" s="3">
        <f>=SUM(INDIRECT(ADDRESS(6,11)):INDIRECT(ADDRESS(1048576,11)))</f>
      </c>
      <c r="L5" s="3">
        <f>=SUM(INDIRECT(ADDRESS(6,12)):INDIRECT(ADDRESS(1048576,12)))</f>
      </c>
      <c r="M5" s="3">
        <f>=SUM(INDIRECT(ADDRESS(6,13)):INDIRECT(ADDRESS(1048576,13)))</f>
      </c>
      <c r="N5" s="3">
        <f>=SUM(INDIRECT(ADDRESS(6,14)):INDIRECT(ADDRESS(1048576,14)))</f>
      </c>
      <c r="O5" s="3">
        <f>=SUM(INDIRECT(ADDRESS(6,15)):INDIRECT(ADDRESS(1048576,15)))</f>
      </c>
      <c r="P5" s="3">
        <f>=SUM(INDIRECT(ADDRESS(6,16)):INDIRECT(ADDRESS(1048576,16)))</f>
      </c>
      <c r="Q5" s="3">
        <f>=SUM(INDIRECT(ADDRESS(6,17)):INDIRECT(ADDRESS(1048576,17)))</f>
      </c>
      <c r="R5" s="3">
        <f>=SUM(INDIRECT(ADDRESS(6,18)):INDIRECT(ADDRESS(1048576,18)))</f>
      </c>
      <c r="S5" s="3">
        <f>=SUM(INDIRECT(ADDRESS(6,19)):INDIRECT(ADDRESS(1048576,19)))</f>
      </c>
      <c r="T5" s="3">
        <f>=SUM(INDIRECT(ADDRESS(6,20)):INDIRECT(ADDRESS(1048576,20)))</f>
      </c>
      <c r="U5" s="3">
        <f>=SUM(INDIRECT(ADDRESS(6,21)):INDIRECT(ADDRESS(1048576,21)))</f>
      </c>
      <c r="V5" s="3">
        <f>=SUM(INDIRECT(ADDRESS(6,22)):INDIRECT(ADDRESS(1048576,22)))</f>
      </c>
      <c r="W5" s="3" t="s"/>
      <c r="X5" s="3">
        <f>=SUM(INDIRECT(ADDRESS(6,24)):INDIRECT(ADDRESS(1048576,24)))</f>
      </c>
      <c r="Y5" s="3">
        <f>=SUM(INDIRECT(ADDRESS(6,25)):INDIRECT(ADDRESS(1048576,25)))</f>
      </c>
      <c r="Z5" s="3">
        <f>=SUM(INDIRECT(ADDRESS(6,26)):INDIRECT(ADDRESS(1048576,26)))</f>
      </c>
      <c r="AA5" s="3">
        <f>=SUM(INDIRECT(ADDRESS(6,27)):INDIRECT(ADDRESS(1048576,27)))</f>
      </c>
      <c r="AB5" s="3">
        <f>=SUM(INDIRECT(ADDRESS(6,28)):INDIRECT(ADDRESS(1048576,28)))</f>
      </c>
      <c r="AC5" s="3">
        <f>=SUM(INDIRECT(ADDRESS(6,29)):INDIRECT(ADDRESS(1048576,29)))</f>
      </c>
      <c r="AD5" s="3">
        <f>=SUM(INDIRECT(ADDRESS(6,30)):INDIRECT(ADDRESS(1048576,30)))</f>
      </c>
      <c r="AE5" s="3">
        <f>=SUM(INDIRECT(ADDRESS(6,31)):INDIRECT(ADDRESS(1048576,31)))</f>
      </c>
      <c r="AF5" s="3">
        <f>=SUM(INDIRECT(ADDRESS(6,32)):INDIRECT(ADDRESS(1048576,32)))</f>
      </c>
      <c r="AG5" s="3">
        <f>=SUM(INDIRECT(ADDRESS(6,33)):INDIRECT(ADDRESS(1048576,33)))</f>
      </c>
      <c r="AH5" s="3" t="s"/>
      <c r="AI5" s="3">
        <f>=SUM(INDIRECT(ADDRESS(6,35)):INDIRECT(ADDRESS(1048576,35)))</f>
      </c>
      <c r="AJ5" s="3">
        <f>=SUM(INDIRECT(ADDRESS(6,36)):INDIRECT(ADDRESS(1048576,36)))</f>
      </c>
      <c r="AK5" s="3" t="s"/>
      <c r="AL5" s="3" t="s"/>
      <c r="AM5" s="3" t="s"/>
      <c r="AN5" s="3">
        <f>=SUM(INDIRECT(ADDRESS(6,40)):INDIRECT(ADDRESS(1048576,40)))</f>
      </c>
      <c r="AO5" s="3">
        <f>=SUM(INDIRECT(ADDRESS(6,41)):INDIRECT(ADDRESS(1048576,41)))</f>
      </c>
      <c r="AP5" s="3">
        <f>=SUM(INDIRECT(ADDRESS(6,42)):INDIRECT(ADDRESS(1048576,42)))</f>
      </c>
      <c r="AQ5" s="3">
        <f>=SUM(INDIRECT(ADDRESS(6,43)):INDIRECT(ADDRESS(1048576,43)))</f>
      </c>
      <c r="AR5" s="3">
        <f>=SUM(INDIRECT(ADDRESS(6,44)):INDIRECT(ADDRESS(1048576,44)))</f>
      </c>
    </row>
    <row r="6">
      <c r="A6" s="3" t="s">
        <v>7</v>
      </c>
      <c r="B6" s="3" t="s">
        <v>8</v>
      </c>
      <c r="C6" s="3" t="s">
        <v>9</v>
      </c>
      <c r="D6" s="3" t="s">
        <v>10</v>
      </c>
      <c r="E6" s="3" t="s">
        <v>11</v>
      </c>
      <c r="F6" s="3" t="s">
        <v>12</v>
      </c>
      <c r="G6" s="3" t="s">
        <v>13</v>
      </c>
      <c r="H6" s="3" t="s">
        <v>14</v>
      </c>
      <c r="I6" s="3" t="s">
        <v>15</v>
      </c>
      <c r="J6" s="3" t="s">
        <v>16</v>
      </c>
      <c r="K6" s="3" t="s">
        <v>17</v>
      </c>
      <c r="L6" s="3" t="s">
        <v>18</v>
      </c>
      <c r="M6" s="3" t="s">
        <v>19</v>
      </c>
      <c r="N6" s="3" t="s">
        <v>20</v>
      </c>
      <c r="O6" s="3" t="s">
        <v>21</v>
      </c>
      <c r="P6" s="3" t="s">
        <v>22</v>
      </c>
      <c r="Q6" s="3" t="s">
        <v>23</v>
      </c>
      <c r="R6" s="3" t="s">
        <v>24</v>
      </c>
      <c r="S6" s="3" t="s">
        <v>25</v>
      </c>
      <c r="T6" s="3" t="s">
        <v>26</v>
      </c>
      <c r="U6" s="3" t="s">
        <v>27</v>
      </c>
      <c r="V6" s="3" t="s">
        <v>28</v>
      </c>
      <c r="W6" s="3" t="s">
        <v>29</v>
      </c>
      <c r="X6" s="3" t="s">
        <v>30</v>
      </c>
      <c r="Y6" s="3" t="s">
        <v>31</v>
      </c>
      <c r="Z6" s="3" t="s">
        <v>32</v>
      </c>
      <c r="AA6" s="3" t="s">
        <v>33</v>
      </c>
      <c r="AB6" s="3" t="s">
        <v>34</v>
      </c>
      <c r="AC6" s="3" t="s">
        <v>35</v>
      </c>
      <c r="AD6" s="3" t="s">
        <v>36</v>
      </c>
      <c r="AE6" s="3" t="s">
        <v>37</v>
      </c>
      <c r="AF6" s="3" t="s">
        <v>38</v>
      </c>
      <c r="AG6" s="3" t="s">
        <v>39</v>
      </c>
      <c r="AH6" s="3" t="s">
        <v>40</v>
      </c>
      <c r="AI6" s="3" t="s">
        <v>41</v>
      </c>
      <c r="AJ6" s="3" t="s">
        <v>42</v>
      </c>
      <c r="AK6" s="3" t="s">
        <v>43</v>
      </c>
      <c r="AL6" s="3" t="s">
        <v>44</v>
      </c>
      <c r="AM6" s="3" t="s"/>
      <c r="AN6" s="3" t="s">
        <v>45</v>
      </c>
      <c r="AO6" s="3" t="s">
        <v>46</v>
      </c>
      <c r="AP6" s="3" t="s">
        <v>47</v>
      </c>
      <c r="AQ6" s="3" t="s">
        <v>48</v>
      </c>
      <c r="AR6" s="3" t="s">
        <v>49</v>
      </c>
    </row>
    <row r="7">
      <c r="A7" s="3">
        <v>1</v>
      </c>
      <c r="B7" s="3" t="s">
        <v>50</v>
      </c>
      <c r="C7" s="3" t="s"/>
      <c r="D7" s="3" t="s">
        <v>51</v>
      </c>
      <c r="E7" s="3" t="s">
        <v>52</v>
      </c>
      <c r="F7" s="3" t="s">
        <v>53</v>
      </c>
      <c r="G7" s="3" t="s">
        <v>5</v>
      </c>
      <c r="H7" s="3">
        <v>149000</v>
      </c>
      <c r="I7" s="3">
        <v>-19370</v>
      </c>
      <c r="J7" s="3">
        <v>0</v>
      </c>
      <c r="K7" s="3">
        <v>0</v>
      </c>
      <c r="L7" s="3">
        <v>0</v>
      </c>
      <c r="M7" s="3">
        <v>0</v>
      </c>
      <c r="N7" s="3">
        <v>0</v>
      </c>
      <c r="O7" s="3">
        <v>0</v>
      </c>
      <c r="P7" s="3">
        <v>0</v>
      </c>
      <c r="Q7" s="3">
        <v>0</v>
      </c>
      <c r="R7" s="3">
        <v>14000</v>
      </c>
      <c r="S7" s="3">
        <v>-14000</v>
      </c>
      <c r="T7" s="3">
        <v>0</v>
      </c>
      <c r="U7" s="3">
        <v>0</v>
      </c>
      <c r="V7" s="3">
        <v>0</v>
      </c>
      <c r="W7" s="3">
        <v>-8633</v>
      </c>
      <c r="X7" s="3">
        <v>-10694</v>
      </c>
      <c r="Y7" s="3">
        <v>-12963</v>
      </c>
      <c r="Z7" s="3">
        <v>-1250</v>
      </c>
      <c r="AA7" s="3">
        <v>0</v>
      </c>
      <c r="AB7" s="3">
        <v>0</v>
      </c>
      <c r="AC7" s="3">
        <v>0</v>
      </c>
      <c r="AD7" s="3">
        <v>0</v>
      </c>
      <c r="AE7" s="3">
        <v>0</v>
      </c>
      <c r="AF7" s="3">
        <v>-1439</v>
      </c>
      <c r="AG7" s="3">
        <v>94651</v>
      </c>
      <c r="AH7" s="3" t="s"/>
      <c r="AI7" s="3">
        <v>0</v>
      </c>
      <c r="AJ7" s="3">
        <v>0</v>
      </c>
      <c r="AK7" s="3" t="s">
        <v>54</v>
      </c>
      <c r="AL7" s="3" t="s">
        <v>55</v>
      </c>
      <c r="AM7" s="3" t="s"/>
      <c r="AN7" s="3">
        <v>0</v>
      </c>
      <c r="AO7" s="3">
        <v>0</v>
      </c>
      <c r="AP7" s="3">
        <v>0</v>
      </c>
      <c r="AQ7" s="3">
        <v>0</v>
      </c>
      <c r="AR7" s="3">
        <v>0</v>
      </c>
    </row>
    <row r="8">
      <c r="A8" s="3">
        <v>2</v>
      </c>
      <c r="B8" s="3" t="s">
        <v>56</v>
      </c>
      <c r="C8" s="3" t="s"/>
      <c r="D8" s="3" t="s">
        <v>57</v>
      </c>
      <c r="E8" s="3" t="s">
        <v>58</v>
      </c>
      <c r="F8" s="3" t="s">
        <v>59</v>
      </c>
      <c r="G8" s="3" t="s">
        <v>5</v>
      </c>
      <c r="H8" s="3">
        <v>447000</v>
      </c>
      <c r="I8" s="3">
        <v>-61090</v>
      </c>
      <c r="J8" s="3">
        <v>0</v>
      </c>
      <c r="K8" s="3">
        <v>0</v>
      </c>
      <c r="L8" s="3">
        <v>0</v>
      </c>
      <c r="M8" s="3">
        <v>0</v>
      </c>
      <c r="N8" s="3">
        <v>0</v>
      </c>
      <c r="O8" s="3">
        <v>0</v>
      </c>
      <c r="P8" s="3">
        <v>0</v>
      </c>
      <c r="Q8" s="3">
        <v>0</v>
      </c>
      <c r="R8" s="3">
        <v>44000</v>
      </c>
      <c r="S8" s="3">
        <v>-44000</v>
      </c>
      <c r="T8" s="3">
        <v>0</v>
      </c>
      <c r="U8" s="3">
        <v>0</v>
      </c>
      <c r="V8" s="3">
        <v>0</v>
      </c>
      <c r="W8" s="3">
        <v>-28428</v>
      </c>
      <c r="X8" s="3">
        <v>-31838</v>
      </c>
      <c r="Y8" s="3">
        <v>-38591</v>
      </c>
      <c r="Z8" s="3">
        <v>-1250</v>
      </c>
      <c r="AA8" s="3">
        <v>-1930</v>
      </c>
      <c r="AB8" s="3">
        <v>0</v>
      </c>
      <c r="AC8" s="3">
        <v>0</v>
      </c>
      <c r="AD8" s="3">
        <v>0</v>
      </c>
      <c r="AE8" s="3">
        <v>0</v>
      </c>
      <c r="AF8" s="3">
        <v>-4284</v>
      </c>
      <c r="AG8" s="3">
        <v>279589</v>
      </c>
      <c r="AH8" s="3" t="s"/>
      <c r="AI8" s="3">
        <v>0</v>
      </c>
      <c r="AJ8" s="3">
        <v>0</v>
      </c>
      <c r="AK8" s="3" t="s">
        <v>60</v>
      </c>
      <c r="AL8" s="3" t="s">
        <v>61</v>
      </c>
      <c r="AM8" s="3" t="s"/>
      <c r="AN8" s="3">
        <v>0</v>
      </c>
      <c r="AO8" s="3">
        <v>0</v>
      </c>
      <c r="AP8" s="3">
        <v>0</v>
      </c>
      <c r="AQ8" s="3">
        <v>0</v>
      </c>
      <c r="AR8" s="3">
        <v>0</v>
      </c>
    </row>
    <row r="9">
      <c r="A9" s="3">
        <v>3</v>
      </c>
      <c r="B9" s="3" t="s">
        <v>62</v>
      </c>
      <c r="C9" s="3" t="s"/>
      <c r="D9" s="3" t="s">
        <v>63</v>
      </c>
      <c r="E9" s="3" t="s">
        <v>64</v>
      </c>
      <c r="F9" s="3" t="s">
        <v>65</v>
      </c>
      <c r="G9" s="3" t="s">
        <v>5</v>
      </c>
      <c r="H9" s="3">
        <v>446000</v>
      </c>
      <c r="I9" s="3">
        <v>-66900</v>
      </c>
      <c r="J9" s="3">
        <v>0</v>
      </c>
      <c r="K9" s="3">
        <v>0</v>
      </c>
      <c r="L9" s="3">
        <v>0</v>
      </c>
      <c r="M9" s="3">
        <v>0</v>
      </c>
      <c r="N9" s="3">
        <v>0</v>
      </c>
      <c r="O9" s="3">
        <v>0</v>
      </c>
      <c r="P9" s="3">
        <v>0</v>
      </c>
      <c r="Q9" s="3">
        <v>0</v>
      </c>
      <c r="R9" s="3">
        <v>6500</v>
      </c>
      <c r="S9" s="3">
        <v>-6500</v>
      </c>
      <c r="T9" s="3">
        <v>0</v>
      </c>
      <c r="U9" s="3">
        <v>0</v>
      </c>
      <c r="V9" s="3">
        <v>0</v>
      </c>
      <c r="W9" s="3">
        <v>0</v>
      </c>
      <c r="X9" s="3">
        <v>-31276</v>
      </c>
      <c r="Y9" s="3">
        <v>-37911</v>
      </c>
      <c r="Z9" s="3">
        <v>-1250</v>
      </c>
      <c r="AA9" s="3">
        <v>-1896</v>
      </c>
      <c r="AB9" s="3">
        <v>0</v>
      </c>
      <c r="AC9" s="3">
        <v>0</v>
      </c>
      <c r="AD9" s="3">
        <v>0</v>
      </c>
      <c r="AE9" s="3">
        <v>0</v>
      </c>
      <c r="AF9" s="3">
        <v>-4209</v>
      </c>
      <c r="AG9" s="3">
        <v>302558</v>
      </c>
      <c r="AH9" s="3" t="s"/>
      <c r="AI9" s="3">
        <v>0</v>
      </c>
      <c r="AJ9" s="3">
        <v>0</v>
      </c>
      <c r="AK9" s="3" t="s">
        <v>60</v>
      </c>
      <c r="AL9" s="3" t="s">
        <v>61</v>
      </c>
      <c r="AM9" s="3" t="s"/>
      <c r="AN9" s="3">
        <v>0</v>
      </c>
      <c r="AO9" s="3">
        <v>0</v>
      </c>
      <c r="AP9" s="3">
        <v>0</v>
      </c>
      <c r="AQ9" s="3">
        <v>0</v>
      </c>
      <c r="AR9" s="3">
        <v>0</v>
      </c>
    </row>
    <row r="10">
      <c r="A10" s="3">
        <v>4</v>
      </c>
      <c r="B10" s="3" t="s">
        <v>66</v>
      </c>
      <c r="C10" s="3" t="s"/>
      <c r="D10" s="3" t="s">
        <v>67</v>
      </c>
      <c r="E10" s="3" t="s">
        <v>68</v>
      </c>
      <c r="F10" s="3" t="s">
        <v>65</v>
      </c>
      <c r="G10" s="3" t="s">
        <v>69</v>
      </c>
      <c r="H10" s="3">
        <v>149000</v>
      </c>
      <c r="I10" s="3">
        <v>-20860</v>
      </c>
      <c r="J10" s="3">
        <v>0</v>
      </c>
      <c r="K10" s="3">
        <v>0</v>
      </c>
      <c r="L10" s="3">
        <v>0</v>
      </c>
      <c r="M10" s="3">
        <v>0</v>
      </c>
      <c r="N10" s="3">
        <v>0</v>
      </c>
      <c r="O10" s="3">
        <v>0</v>
      </c>
      <c r="P10" s="3">
        <v>18600</v>
      </c>
      <c r="Q10" s="3">
        <v>0</v>
      </c>
      <c r="R10" s="3">
        <v>0</v>
      </c>
      <c r="S10" s="3">
        <v>-18600</v>
      </c>
      <c r="T10" s="3">
        <v>0</v>
      </c>
      <c r="U10" s="3">
        <v>0</v>
      </c>
      <c r="V10" s="3">
        <v>0</v>
      </c>
      <c r="W10" s="3">
        <v>0</v>
      </c>
      <c r="X10" s="3">
        <v>-10572</v>
      </c>
      <c r="Y10" s="3">
        <v>-12814</v>
      </c>
      <c r="Z10" s="3">
        <v>-1250</v>
      </c>
      <c r="AA10" s="3">
        <v>-641</v>
      </c>
      <c r="AB10" s="3">
        <v>0</v>
      </c>
      <c r="AC10" s="3">
        <v>0</v>
      </c>
      <c r="AD10" s="3">
        <v>0</v>
      </c>
      <c r="AE10" s="3">
        <v>0</v>
      </c>
      <c r="AF10" s="3">
        <v>-1422</v>
      </c>
      <c r="AG10" s="3">
        <v>101441</v>
      </c>
      <c r="AH10" s="3" t="s"/>
      <c r="AI10" s="3">
        <v>0</v>
      </c>
      <c r="AJ10" s="3">
        <v>0</v>
      </c>
      <c r="AK10" s="3" t="s">
        <v>61</v>
      </c>
      <c r="AL10" s="3" t="s">
        <v>61</v>
      </c>
      <c r="AM10" s="3" t="s"/>
      <c r="AN10" s="3">
        <v>0</v>
      </c>
      <c r="AO10" s="3">
        <v>0</v>
      </c>
      <c r="AP10" s="3">
        <v>0</v>
      </c>
      <c r="AQ10" s="3">
        <v>0</v>
      </c>
      <c r="AR10" s="3">
        <v>0</v>
      </c>
    </row>
    <row r="11">
      <c r="A11" s="3">
        <v>5</v>
      </c>
      <c r="B11" s="3" t="s">
        <v>70</v>
      </c>
      <c r="C11" s="3" t="s"/>
      <c r="D11" s="3" t="s">
        <v>71</v>
      </c>
      <c r="E11" s="3" t="s">
        <v>72</v>
      </c>
      <c r="F11" s="3" t="s">
        <v>73</v>
      </c>
      <c r="G11" s="3" t="s">
        <v>74</v>
      </c>
      <c r="H11" s="3">
        <v>99000</v>
      </c>
      <c r="I11" s="3">
        <v>-11880</v>
      </c>
      <c r="J11" s="3">
        <v>0</v>
      </c>
      <c r="K11" s="3">
        <v>0</v>
      </c>
      <c r="L11" s="3">
        <v>0</v>
      </c>
      <c r="M11" s="3">
        <v>0</v>
      </c>
      <c r="N11" s="3">
        <v>0</v>
      </c>
      <c r="O11" s="3">
        <v>0</v>
      </c>
      <c r="P11" s="3">
        <v>0</v>
      </c>
      <c r="Q11" s="3">
        <v>0</v>
      </c>
      <c r="R11" s="3">
        <v>8000</v>
      </c>
      <c r="S11" s="3">
        <v>-8000</v>
      </c>
      <c r="T11" s="3">
        <v>0</v>
      </c>
      <c r="U11" s="3">
        <v>0</v>
      </c>
      <c r="V11" s="3">
        <v>0</v>
      </c>
      <c r="W11" s="3">
        <v>-6672</v>
      </c>
      <c r="X11" s="3">
        <v>-7187</v>
      </c>
      <c r="Y11" s="3">
        <v>-8712</v>
      </c>
      <c r="Z11" s="3">
        <v>-1250</v>
      </c>
      <c r="AA11" s="3">
        <v>-436</v>
      </c>
      <c r="AB11" s="3">
        <v>0</v>
      </c>
      <c r="AC11" s="3">
        <v>0</v>
      </c>
      <c r="AD11" s="3">
        <v>0</v>
      </c>
      <c r="AE11" s="3">
        <v>0</v>
      </c>
      <c r="AF11" s="3">
        <v>-967</v>
      </c>
      <c r="AG11" s="3">
        <v>61896</v>
      </c>
      <c r="AH11" s="3" t="s"/>
      <c r="AI11" s="3">
        <v>0</v>
      </c>
      <c r="AJ11" s="3">
        <v>0</v>
      </c>
      <c r="AK11" s="3" t="s">
        <v>60</v>
      </c>
      <c r="AL11" s="3" t="s">
        <v>61</v>
      </c>
      <c r="AM11" s="3" t="s"/>
      <c r="AN11" s="3">
        <v>0</v>
      </c>
      <c r="AO11" s="3">
        <v>0</v>
      </c>
      <c r="AP11" s="3">
        <v>0</v>
      </c>
      <c r="AQ11" s="3">
        <v>0</v>
      </c>
      <c r="AR11" s="3">
        <v>0</v>
      </c>
    </row>
    <row r="12">
      <c r="A12" s="3">
        <v>6</v>
      </c>
      <c r="B12" s="3" t="s">
        <v>75</v>
      </c>
      <c r="C12" s="3" t="s"/>
      <c r="D12" s="3" t="s">
        <v>76</v>
      </c>
      <c r="E12" s="3" t="s">
        <v>77</v>
      </c>
      <c r="F12" s="3" t="s">
        <v>78</v>
      </c>
      <c r="G12" s="3" t="s">
        <v>64</v>
      </c>
      <c r="H12" s="3">
        <v>99000</v>
      </c>
      <c r="I12" s="3">
        <v>-12870</v>
      </c>
      <c r="J12" s="3">
        <v>0</v>
      </c>
      <c r="K12" s="3">
        <v>0</v>
      </c>
      <c r="L12" s="3">
        <v>0</v>
      </c>
      <c r="M12" s="3">
        <v>0</v>
      </c>
      <c r="N12" s="3">
        <v>0</v>
      </c>
      <c r="O12" s="3">
        <v>0</v>
      </c>
      <c r="P12" s="3">
        <v>0</v>
      </c>
      <c r="Q12" s="3">
        <v>0</v>
      </c>
      <c r="R12" s="3">
        <v>5400</v>
      </c>
      <c r="S12" s="3">
        <v>-5400</v>
      </c>
      <c r="T12" s="3">
        <v>0</v>
      </c>
      <c r="U12" s="3">
        <v>0</v>
      </c>
      <c r="V12" s="3">
        <v>0</v>
      </c>
      <c r="W12" s="3">
        <v>0</v>
      </c>
      <c r="X12" s="3">
        <v>-7106</v>
      </c>
      <c r="Y12" s="3">
        <v>-8613</v>
      </c>
      <c r="Z12" s="3">
        <v>-1250</v>
      </c>
      <c r="AA12" s="3">
        <v>-431</v>
      </c>
      <c r="AB12" s="3">
        <v>0</v>
      </c>
      <c r="AC12" s="3">
        <v>0</v>
      </c>
      <c r="AD12" s="3">
        <v>0</v>
      </c>
      <c r="AE12" s="3">
        <v>0</v>
      </c>
      <c r="AF12" s="3">
        <v>-956</v>
      </c>
      <c r="AG12" s="3">
        <v>67774</v>
      </c>
      <c r="AH12" s="3" t="s"/>
      <c r="AI12" s="3">
        <v>0</v>
      </c>
      <c r="AJ12" s="3">
        <v>0</v>
      </c>
      <c r="AK12" s="3" t="s">
        <v>61</v>
      </c>
      <c r="AL12" s="3" t="s">
        <v>61</v>
      </c>
      <c r="AM12" s="3" t="s"/>
      <c r="AN12" s="3">
        <v>0</v>
      </c>
      <c r="AO12" s="3">
        <v>0</v>
      </c>
      <c r="AP12" s="3">
        <v>0</v>
      </c>
      <c r="AQ12" s="3">
        <v>0</v>
      </c>
      <c r="AR12" s="3">
        <v>0</v>
      </c>
    </row>
    <row r="13">
      <c r="A13" s="3">
        <v>7</v>
      </c>
      <c r="B13" s="3" t="s">
        <v>79</v>
      </c>
      <c r="C13" s="3" t="s"/>
      <c r="D13" s="3" t="s">
        <v>80</v>
      </c>
      <c r="E13" s="3" t="s">
        <v>72</v>
      </c>
      <c r="F13" s="3" t="s">
        <v>73</v>
      </c>
      <c r="G13" s="3" t="s">
        <v>64</v>
      </c>
      <c r="H13" s="3">
        <v>447000</v>
      </c>
      <c r="I13" s="3">
        <v>-53640</v>
      </c>
      <c r="J13" s="3">
        <v>0</v>
      </c>
      <c r="K13" s="3">
        <v>0</v>
      </c>
      <c r="L13" s="3">
        <v>0</v>
      </c>
      <c r="M13" s="3">
        <v>0</v>
      </c>
      <c r="N13" s="3">
        <v>0</v>
      </c>
      <c r="O13" s="3">
        <v>0</v>
      </c>
      <c r="P13" s="3">
        <v>5400</v>
      </c>
      <c r="Q13" s="3">
        <v>0</v>
      </c>
      <c r="R13" s="3">
        <v>0</v>
      </c>
      <c r="S13" s="3">
        <v>-5400</v>
      </c>
      <c r="T13" s="3">
        <v>0</v>
      </c>
      <c r="U13" s="3">
        <v>0</v>
      </c>
      <c r="V13" s="3">
        <v>0</v>
      </c>
      <c r="W13" s="3">
        <v>0</v>
      </c>
      <c r="X13" s="3">
        <v>-32452</v>
      </c>
      <c r="Y13" s="3">
        <v>-39336</v>
      </c>
      <c r="Z13" s="3">
        <v>-1250</v>
      </c>
      <c r="AA13" s="3">
        <v>-1967</v>
      </c>
      <c r="AB13" s="3">
        <v>0</v>
      </c>
      <c r="AC13" s="3">
        <v>0</v>
      </c>
      <c r="AD13" s="3">
        <v>0</v>
      </c>
      <c r="AE13" s="3">
        <v>0</v>
      </c>
      <c r="AF13" s="3">
        <v>-4367</v>
      </c>
      <c r="AG13" s="3">
        <v>313988</v>
      </c>
      <c r="AH13" s="3" t="s"/>
      <c r="AI13" s="3">
        <v>0</v>
      </c>
      <c r="AJ13" s="3">
        <v>0</v>
      </c>
      <c r="AK13" s="3" t="s">
        <v>61</v>
      </c>
      <c r="AL13" s="3" t="s">
        <v>61</v>
      </c>
      <c r="AM13" s="3" t="s"/>
      <c r="AN13" s="3">
        <v>0</v>
      </c>
      <c r="AO13" s="3">
        <v>0</v>
      </c>
      <c r="AP13" s="3">
        <v>0</v>
      </c>
      <c r="AQ13" s="3">
        <v>0</v>
      </c>
      <c r="AR13" s="3">
        <v>0</v>
      </c>
    </row>
    <row r="14">
      <c r="A14" s="3">
        <v>8</v>
      </c>
      <c r="B14" s="3" t="s">
        <v>81</v>
      </c>
      <c r="C14" s="3" t="s"/>
      <c r="D14" s="3" t="s">
        <v>82</v>
      </c>
      <c r="E14" s="3" t="s">
        <v>83</v>
      </c>
      <c r="F14" s="3" t="s">
        <v>59</v>
      </c>
      <c r="G14" s="3" t="s">
        <v>72</v>
      </c>
      <c r="H14" s="3">
        <v>149000</v>
      </c>
      <c r="I14" s="3">
        <v>-17880</v>
      </c>
      <c r="J14" s="3">
        <v>0</v>
      </c>
      <c r="K14" s="3">
        <v>0</v>
      </c>
      <c r="L14" s="3">
        <v>0</v>
      </c>
      <c r="M14" s="3">
        <v>0</v>
      </c>
      <c r="N14" s="3">
        <v>0</v>
      </c>
      <c r="O14" s="3">
        <v>0</v>
      </c>
      <c r="P14" s="3">
        <v>43400</v>
      </c>
      <c r="Q14" s="3">
        <v>0</v>
      </c>
      <c r="R14" s="3">
        <v>31000</v>
      </c>
      <c r="S14" s="3">
        <v>-74400</v>
      </c>
      <c r="T14" s="3">
        <v>0</v>
      </c>
      <c r="U14" s="3">
        <v>0</v>
      </c>
      <c r="V14" s="3">
        <v>0</v>
      </c>
      <c r="W14" s="3">
        <v>-17553</v>
      </c>
      <c r="X14" s="3">
        <v>-10817</v>
      </c>
      <c r="Y14" s="3">
        <v>-13112</v>
      </c>
      <c r="Z14" s="3">
        <v>-1250</v>
      </c>
      <c r="AA14" s="3">
        <v>-656</v>
      </c>
      <c r="AB14" s="3">
        <v>0</v>
      </c>
      <c r="AC14" s="3">
        <v>0</v>
      </c>
      <c r="AD14" s="3">
        <v>0</v>
      </c>
      <c r="AE14" s="3">
        <v>0</v>
      </c>
      <c r="AF14" s="3">
        <v>-1455</v>
      </c>
      <c r="AG14" s="3">
        <v>86277</v>
      </c>
      <c r="AH14" s="3" t="s"/>
      <c r="AI14" s="3">
        <v>0</v>
      </c>
      <c r="AJ14" s="3">
        <v>0</v>
      </c>
      <c r="AK14" s="3" t="s">
        <v>61</v>
      </c>
      <c r="AL14" s="3" t="s">
        <v>61</v>
      </c>
      <c r="AM14" s="3" t="s"/>
      <c r="AN14" s="3">
        <v>0</v>
      </c>
      <c r="AO14" s="3">
        <v>0</v>
      </c>
      <c r="AP14" s="3">
        <v>0</v>
      </c>
      <c r="AQ14" s="3">
        <v>0</v>
      </c>
      <c r="AR14" s="3">
        <v>0</v>
      </c>
    </row>
    <row r="15">
      <c r="A15" s="3">
        <v>9</v>
      </c>
      <c r="B15" s="3" t="s">
        <v>84</v>
      </c>
      <c r="C15" s="3" t="s"/>
      <c r="D15" s="3" t="s">
        <v>85</v>
      </c>
      <c r="E15" s="3" t="s">
        <v>68</v>
      </c>
      <c r="F15" s="3" t="s">
        <v>73</v>
      </c>
      <c r="G15" s="3" t="s">
        <v>72</v>
      </c>
      <c r="H15" s="3">
        <v>149000</v>
      </c>
      <c r="I15" s="3">
        <v>-22350</v>
      </c>
      <c r="J15" s="3">
        <v>0</v>
      </c>
      <c r="K15" s="3">
        <v>0</v>
      </c>
      <c r="L15" s="3">
        <v>0</v>
      </c>
      <c r="M15" s="3">
        <v>0</v>
      </c>
      <c r="N15" s="3">
        <v>0</v>
      </c>
      <c r="O15" s="3">
        <v>0</v>
      </c>
      <c r="P15" s="3">
        <v>0</v>
      </c>
      <c r="Q15" s="3">
        <v>0</v>
      </c>
      <c r="R15" s="3">
        <v>6500</v>
      </c>
      <c r="S15" s="3">
        <v>-6500</v>
      </c>
      <c r="T15" s="3">
        <v>0</v>
      </c>
      <c r="U15" s="3">
        <v>0</v>
      </c>
      <c r="V15" s="3">
        <v>0</v>
      </c>
      <c r="W15" s="3">
        <v>-8857</v>
      </c>
      <c r="X15" s="3">
        <v>-10449</v>
      </c>
      <c r="Y15" s="3">
        <v>-12665</v>
      </c>
      <c r="Z15" s="3">
        <v>-1250</v>
      </c>
      <c r="AA15" s="3">
        <v>-634</v>
      </c>
      <c r="AB15" s="3">
        <v>0</v>
      </c>
      <c r="AC15" s="3">
        <v>0</v>
      </c>
      <c r="AD15" s="3">
        <v>0</v>
      </c>
      <c r="AE15" s="3">
        <v>0</v>
      </c>
      <c r="AF15" s="3">
        <v>-1406</v>
      </c>
      <c r="AG15" s="3">
        <v>91389</v>
      </c>
      <c r="AH15" s="3" t="s"/>
      <c r="AI15" s="3">
        <v>0</v>
      </c>
      <c r="AJ15" s="3">
        <v>0</v>
      </c>
      <c r="AK15" s="3" t="s">
        <v>60</v>
      </c>
      <c r="AL15" s="3" t="s">
        <v>61</v>
      </c>
      <c r="AM15" s="3" t="s"/>
      <c r="AN15" s="3">
        <v>0</v>
      </c>
      <c r="AO15" s="3">
        <v>0</v>
      </c>
      <c r="AP15" s="3">
        <v>0</v>
      </c>
      <c r="AQ15" s="3">
        <v>0</v>
      </c>
      <c r="AR15" s="3">
        <v>0</v>
      </c>
    </row>
    <row r="16">
      <c r="A16" s="3">
        <v>10</v>
      </c>
      <c r="B16" s="3" t="s">
        <v>86</v>
      </c>
      <c r="C16" s="3" t="s"/>
      <c r="D16" s="3" t="s">
        <v>87</v>
      </c>
      <c r="E16" s="3" t="s">
        <v>88</v>
      </c>
      <c r="F16" s="3" t="s">
        <v>53</v>
      </c>
      <c r="G16" s="3" t="s">
        <v>72</v>
      </c>
      <c r="H16" s="3">
        <v>198000</v>
      </c>
      <c r="I16" s="3">
        <v>-29700</v>
      </c>
      <c r="J16" s="3">
        <v>0</v>
      </c>
      <c r="K16" s="3">
        <v>0</v>
      </c>
      <c r="L16" s="3">
        <v>0</v>
      </c>
      <c r="M16" s="3">
        <v>0</v>
      </c>
      <c r="N16" s="3">
        <v>0</v>
      </c>
      <c r="O16" s="3">
        <v>0</v>
      </c>
      <c r="P16" s="3">
        <v>0</v>
      </c>
      <c r="Q16" s="3">
        <v>0</v>
      </c>
      <c r="R16" s="3">
        <v>8000</v>
      </c>
      <c r="S16" s="3">
        <v>-8000</v>
      </c>
      <c r="T16" s="3">
        <v>0</v>
      </c>
      <c r="U16" s="3">
        <v>0</v>
      </c>
      <c r="V16" s="3">
        <v>0</v>
      </c>
      <c r="W16" s="3">
        <v>-8407</v>
      </c>
      <c r="X16" s="3">
        <v>-13885</v>
      </c>
      <c r="Y16" s="3">
        <v>-16831</v>
      </c>
      <c r="Z16" s="3">
        <v>-1250</v>
      </c>
      <c r="AA16" s="3">
        <v>-842</v>
      </c>
      <c r="AB16" s="3">
        <v>0</v>
      </c>
      <c r="AC16" s="3">
        <v>0</v>
      </c>
      <c r="AD16" s="3">
        <v>0</v>
      </c>
      <c r="AE16" s="3">
        <v>0</v>
      </c>
      <c r="AF16" s="3">
        <v>-1868</v>
      </c>
      <c r="AG16" s="3">
        <v>125217</v>
      </c>
      <c r="AH16" s="3" t="s"/>
      <c r="AI16" s="3">
        <v>0</v>
      </c>
      <c r="AJ16" s="3">
        <v>0</v>
      </c>
      <c r="AK16" s="3" t="s">
        <v>60</v>
      </c>
      <c r="AL16" s="3" t="s">
        <v>61</v>
      </c>
      <c r="AM16" s="3" t="s"/>
      <c r="AN16" s="3">
        <v>0</v>
      </c>
      <c r="AO16" s="3">
        <v>0</v>
      </c>
      <c r="AP16" s="3">
        <v>0</v>
      </c>
      <c r="AQ16" s="3">
        <v>0</v>
      </c>
      <c r="AR16" s="3">
        <v>0</v>
      </c>
    </row>
    <row r="17">
      <c r="A17" s="3">
        <v>11</v>
      </c>
      <c r="B17" s="3" t="s">
        <v>89</v>
      </c>
      <c r="C17" s="3" t="s"/>
      <c r="D17" s="3" t="s">
        <v>90</v>
      </c>
      <c r="E17" s="3" t="s">
        <v>88</v>
      </c>
      <c r="F17" s="3" t="s">
        <v>73</v>
      </c>
      <c r="G17" s="3" t="s">
        <v>72</v>
      </c>
      <c r="H17" s="3">
        <v>149000</v>
      </c>
      <c r="I17" s="3">
        <v>-17880</v>
      </c>
      <c r="J17" s="3">
        <v>0</v>
      </c>
      <c r="K17" s="3">
        <v>0</v>
      </c>
      <c r="L17" s="3">
        <v>0</v>
      </c>
      <c r="M17" s="3">
        <v>0</v>
      </c>
      <c r="N17" s="3">
        <v>0</v>
      </c>
      <c r="O17" s="3">
        <v>0</v>
      </c>
      <c r="P17" s="3">
        <v>0</v>
      </c>
      <c r="Q17" s="3">
        <v>0</v>
      </c>
      <c r="R17" s="3">
        <v>6500</v>
      </c>
      <c r="S17" s="3">
        <v>-6500</v>
      </c>
      <c r="T17" s="3">
        <v>0</v>
      </c>
      <c r="U17" s="3">
        <v>0</v>
      </c>
      <c r="V17" s="3">
        <v>0</v>
      </c>
      <c r="W17" s="3">
        <v>0</v>
      </c>
      <c r="X17" s="3">
        <v>-10817</v>
      </c>
      <c r="Y17" s="3">
        <v>-13112</v>
      </c>
      <c r="Z17" s="3">
        <v>-1250</v>
      </c>
      <c r="AA17" s="3">
        <v>-656</v>
      </c>
      <c r="AB17" s="3">
        <v>0</v>
      </c>
      <c r="AC17" s="3">
        <v>0</v>
      </c>
      <c r="AD17" s="3">
        <v>0</v>
      </c>
      <c r="AE17" s="3">
        <v>0</v>
      </c>
      <c r="AF17" s="3">
        <v>-1455</v>
      </c>
      <c r="AG17" s="3">
        <v>103830</v>
      </c>
      <c r="AH17" s="3" t="s"/>
      <c r="AI17" s="3">
        <v>0</v>
      </c>
      <c r="AJ17" s="3">
        <v>0</v>
      </c>
      <c r="AK17" s="3" t="s">
        <v>60</v>
      </c>
      <c r="AL17" s="3" t="s">
        <v>61</v>
      </c>
      <c r="AM17" s="3" t="s"/>
      <c r="AN17" s="3">
        <v>0</v>
      </c>
      <c r="AO17" s="3">
        <v>0</v>
      </c>
      <c r="AP17" s="3">
        <v>0</v>
      </c>
      <c r="AQ17" s="3">
        <v>0</v>
      </c>
      <c r="AR17" s="3">
        <v>0</v>
      </c>
    </row>
    <row r="18">
      <c r="A18" s="3">
        <v>12</v>
      </c>
      <c r="B18" s="3" t="s">
        <v>91</v>
      </c>
      <c r="C18" s="3" t="s"/>
      <c r="D18" s="3" t="s">
        <v>92</v>
      </c>
      <c r="E18" s="3" t="s">
        <v>93</v>
      </c>
      <c r="F18" s="3" t="s">
        <v>65</v>
      </c>
      <c r="G18" s="3" t="s">
        <v>68</v>
      </c>
      <c r="H18" s="3">
        <v>149000</v>
      </c>
      <c r="I18" s="3">
        <v>-17880</v>
      </c>
      <c r="J18" s="3">
        <v>0</v>
      </c>
      <c r="K18" s="3">
        <v>0</v>
      </c>
      <c r="L18" s="3">
        <v>0</v>
      </c>
      <c r="M18" s="3">
        <v>0</v>
      </c>
      <c r="N18" s="3">
        <v>0</v>
      </c>
      <c r="O18" s="3">
        <v>0</v>
      </c>
      <c r="P18" s="3">
        <v>0</v>
      </c>
      <c r="Q18" s="3">
        <v>0</v>
      </c>
      <c r="R18" s="3">
        <v>6500</v>
      </c>
      <c r="S18" s="3">
        <v>-6500</v>
      </c>
      <c r="T18" s="3">
        <v>0</v>
      </c>
      <c r="U18" s="3">
        <v>0</v>
      </c>
      <c r="V18" s="3">
        <v>0</v>
      </c>
      <c r="W18" s="3">
        <v>0</v>
      </c>
      <c r="X18" s="3">
        <v>-10817</v>
      </c>
      <c r="Y18" s="3">
        <v>-13112</v>
      </c>
      <c r="Z18" s="3">
        <v>-1250</v>
      </c>
      <c r="AA18" s="3">
        <v>-656</v>
      </c>
      <c r="AB18" s="3">
        <v>0</v>
      </c>
      <c r="AC18" s="3">
        <v>0</v>
      </c>
      <c r="AD18" s="3">
        <v>0</v>
      </c>
      <c r="AE18" s="3">
        <v>0</v>
      </c>
      <c r="AF18" s="3">
        <v>-1455</v>
      </c>
      <c r="AG18" s="3">
        <v>103830</v>
      </c>
      <c r="AH18" s="3" t="s"/>
      <c r="AI18" s="3">
        <v>0</v>
      </c>
      <c r="AJ18" s="3">
        <v>0</v>
      </c>
      <c r="AK18" s="3" t="s">
        <v>60</v>
      </c>
      <c r="AL18" s="3" t="s">
        <v>61</v>
      </c>
      <c r="AM18" s="3" t="s"/>
      <c r="AN18" s="3">
        <v>0</v>
      </c>
      <c r="AO18" s="3">
        <v>0</v>
      </c>
      <c r="AP18" s="3">
        <v>0</v>
      </c>
      <c r="AQ18" s="3">
        <v>0</v>
      </c>
      <c r="AR18" s="3">
        <v>0</v>
      </c>
    </row>
    <row r="19">
      <c r="A19" s="3">
        <v>13</v>
      </c>
      <c r="B19" s="3" t="s">
        <v>94</v>
      </c>
      <c r="C19" s="3" t="s"/>
      <c r="D19" s="3" t="s">
        <v>95</v>
      </c>
      <c r="E19" s="3" t="s">
        <v>96</v>
      </c>
      <c r="F19" s="3" t="s">
        <v>53</v>
      </c>
      <c r="G19" s="3" t="s">
        <v>68</v>
      </c>
      <c r="H19" s="3">
        <v>149000</v>
      </c>
      <c r="I19" s="3">
        <v>-17880</v>
      </c>
      <c r="J19" s="3">
        <v>0</v>
      </c>
      <c r="K19" s="3">
        <v>0</v>
      </c>
      <c r="L19" s="3">
        <v>0</v>
      </c>
      <c r="M19" s="3">
        <v>0</v>
      </c>
      <c r="N19" s="3">
        <v>0</v>
      </c>
      <c r="O19" s="3">
        <v>0</v>
      </c>
      <c r="P19" s="3">
        <v>0</v>
      </c>
      <c r="Q19" s="3">
        <v>0</v>
      </c>
      <c r="R19" s="3">
        <v>6500</v>
      </c>
      <c r="S19" s="3">
        <v>-6500</v>
      </c>
      <c r="T19" s="3">
        <v>0</v>
      </c>
      <c r="U19" s="3">
        <v>0</v>
      </c>
      <c r="V19" s="3">
        <v>0</v>
      </c>
      <c r="W19" s="3">
        <v>-9606</v>
      </c>
      <c r="X19" s="3">
        <v>-10817</v>
      </c>
      <c r="Y19" s="3">
        <v>-13112</v>
      </c>
      <c r="Z19" s="3">
        <v>-1250</v>
      </c>
      <c r="AA19" s="3">
        <v>-656</v>
      </c>
      <c r="AB19" s="3">
        <v>0</v>
      </c>
      <c r="AC19" s="3">
        <v>0</v>
      </c>
      <c r="AD19" s="3">
        <v>0</v>
      </c>
      <c r="AE19" s="3">
        <v>0</v>
      </c>
      <c r="AF19" s="3">
        <v>-1455</v>
      </c>
      <c r="AG19" s="3">
        <v>94224</v>
      </c>
      <c r="AH19" s="3" t="s"/>
      <c r="AI19" s="3">
        <v>0</v>
      </c>
      <c r="AJ19" s="3">
        <v>0</v>
      </c>
      <c r="AK19" s="3" t="s">
        <v>60</v>
      </c>
      <c r="AL19" s="3" t="s">
        <v>61</v>
      </c>
      <c r="AM19" s="3" t="s"/>
      <c r="AN19" s="3">
        <v>0</v>
      </c>
      <c r="AO19" s="3">
        <v>0</v>
      </c>
      <c r="AP19" s="3">
        <v>0</v>
      </c>
      <c r="AQ19" s="3">
        <v>0</v>
      </c>
      <c r="AR19" s="3">
        <v>0</v>
      </c>
    </row>
    <row r="20">
      <c r="A20" s="3">
        <v>14</v>
      </c>
      <c r="B20" s="3" t="s">
        <v>97</v>
      </c>
      <c r="C20" s="3" t="s"/>
      <c r="D20" s="3" t="s">
        <v>98</v>
      </c>
      <c r="E20" s="3" t="s">
        <v>99</v>
      </c>
      <c r="F20" s="3" t="s">
        <v>53</v>
      </c>
      <c r="G20" s="3" t="s">
        <v>93</v>
      </c>
      <c r="H20" s="3">
        <v>99000</v>
      </c>
      <c r="I20" s="3">
        <v>-12870</v>
      </c>
      <c r="J20" s="3">
        <v>0</v>
      </c>
      <c r="K20" s="3">
        <v>0</v>
      </c>
      <c r="L20" s="3">
        <v>0</v>
      </c>
      <c r="M20" s="3">
        <v>0</v>
      </c>
      <c r="N20" s="3">
        <v>0</v>
      </c>
      <c r="O20" s="3">
        <v>0</v>
      </c>
      <c r="P20" s="3">
        <v>0</v>
      </c>
      <c r="Q20" s="3">
        <v>0</v>
      </c>
      <c r="R20" s="3">
        <v>6500</v>
      </c>
      <c r="S20" s="3">
        <v>-6500</v>
      </c>
      <c r="T20" s="3">
        <v>0</v>
      </c>
      <c r="U20" s="3">
        <v>0</v>
      </c>
      <c r="V20" s="3">
        <v>0</v>
      </c>
      <c r="W20" s="3">
        <v>0</v>
      </c>
      <c r="X20" s="3">
        <v>-7106</v>
      </c>
      <c r="Y20" s="3">
        <v>-8613</v>
      </c>
      <c r="Z20" s="3">
        <v>-1250</v>
      </c>
      <c r="AA20" s="3">
        <v>-431</v>
      </c>
      <c r="AB20" s="3">
        <v>0</v>
      </c>
      <c r="AC20" s="3">
        <v>0</v>
      </c>
      <c r="AD20" s="3">
        <v>0</v>
      </c>
      <c r="AE20" s="3">
        <v>0</v>
      </c>
      <c r="AF20" s="3">
        <v>-956</v>
      </c>
      <c r="AG20" s="3">
        <v>67774</v>
      </c>
      <c r="AH20" s="3" t="s"/>
      <c r="AI20" s="3">
        <v>0</v>
      </c>
      <c r="AJ20" s="3">
        <v>0</v>
      </c>
      <c r="AK20" s="3" t="s">
        <v>60</v>
      </c>
      <c r="AL20" s="3" t="s">
        <v>61</v>
      </c>
      <c r="AM20" s="3" t="s"/>
      <c r="AN20" s="3">
        <v>0</v>
      </c>
      <c r="AO20" s="3">
        <v>0</v>
      </c>
      <c r="AP20" s="3">
        <v>0</v>
      </c>
      <c r="AQ20" s="3">
        <v>0</v>
      </c>
      <c r="AR20" s="3">
        <v>0</v>
      </c>
    </row>
    <row r="21">
      <c r="A21" s="3">
        <v>15</v>
      </c>
      <c r="B21" s="3" t="s">
        <v>100</v>
      </c>
      <c r="C21" s="3" t="s"/>
      <c r="D21" s="3" t="s">
        <v>101</v>
      </c>
      <c r="E21" s="3" t="s">
        <v>102</v>
      </c>
      <c r="F21" s="3" t="s">
        <v>59</v>
      </c>
      <c r="G21" s="3" t="s">
        <v>93</v>
      </c>
      <c r="H21" s="3">
        <v>248000</v>
      </c>
      <c r="I21" s="3">
        <v>-34220</v>
      </c>
      <c r="J21" s="3">
        <v>0</v>
      </c>
      <c r="K21" s="3">
        <v>0</v>
      </c>
      <c r="L21" s="3">
        <v>0</v>
      </c>
      <c r="M21" s="3">
        <v>0</v>
      </c>
      <c r="N21" s="3">
        <v>0</v>
      </c>
      <c r="O21" s="3">
        <v>0</v>
      </c>
      <c r="P21" s="3">
        <v>0</v>
      </c>
      <c r="Q21" s="3">
        <v>0</v>
      </c>
      <c r="R21" s="3">
        <v>45000</v>
      </c>
      <c r="S21" s="3">
        <v>-45000</v>
      </c>
      <c r="T21" s="3">
        <v>0</v>
      </c>
      <c r="U21" s="3">
        <v>0</v>
      </c>
      <c r="V21" s="3">
        <v>0</v>
      </c>
      <c r="W21" s="3">
        <v>0</v>
      </c>
      <c r="X21" s="3">
        <v>-17637</v>
      </c>
      <c r="Y21" s="3">
        <v>-21378</v>
      </c>
      <c r="Z21" s="3">
        <v>-1250</v>
      </c>
      <c r="AA21" s="3">
        <v>-1069</v>
      </c>
      <c r="AB21" s="3">
        <v>0</v>
      </c>
      <c r="AC21" s="3">
        <v>0</v>
      </c>
      <c r="AD21" s="3">
        <v>0</v>
      </c>
      <c r="AE21" s="3">
        <v>0</v>
      </c>
      <c r="AF21" s="3">
        <v>-2374</v>
      </c>
      <c r="AG21" s="3">
        <v>170072</v>
      </c>
      <c r="AH21" s="3" t="s"/>
      <c r="AI21" s="3">
        <v>0</v>
      </c>
      <c r="AJ21" s="3">
        <v>0</v>
      </c>
      <c r="AK21" s="3" t="s">
        <v>61</v>
      </c>
      <c r="AL21" s="3" t="s">
        <v>61</v>
      </c>
      <c r="AM21" s="3" t="s"/>
      <c r="AN21" s="3">
        <v>0</v>
      </c>
      <c r="AO21" s="3">
        <v>0</v>
      </c>
      <c r="AP21" s="3">
        <v>0</v>
      </c>
      <c r="AQ21" s="3">
        <v>0</v>
      </c>
      <c r="AR21" s="3">
        <v>0</v>
      </c>
    </row>
    <row r="22">
      <c r="A22" s="3">
        <v>16</v>
      </c>
      <c r="B22" s="3" t="s">
        <v>103</v>
      </c>
      <c r="C22" s="3" t="s"/>
      <c r="D22" s="3" t="s">
        <v>104</v>
      </c>
      <c r="E22" s="3" t="s">
        <v>105</v>
      </c>
      <c r="F22" s="3" t="s">
        <v>53</v>
      </c>
      <c r="G22" s="3" t="s">
        <v>83</v>
      </c>
      <c r="H22" s="3">
        <v>149000</v>
      </c>
      <c r="I22" s="3">
        <v>-20860</v>
      </c>
      <c r="J22" s="3">
        <v>0</v>
      </c>
      <c r="K22" s="3">
        <v>0</v>
      </c>
      <c r="L22" s="3">
        <v>0</v>
      </c>
      <c r="M22" s="3">
        <v>0</v>
      </c>
      <c r="N22" s="3">
        <v>0</v>
      </c>
      <c r="O22" s="3">
        <v>0</v>
      </c>
      <c r="P22" s="3">
        <v>0</v>
      </c>
      <c r="Q22" s="3">
        <v>0</v>
      </c>
      <c r="R22" s="3">
        <v>6500</v>
      </c>
      <c r="S22" s="3">
        <v>-6500</v>
      </c>
      <c r="T22" s="3">
        <v>0</v>
      </c>
      <c r="U22" s="3">
        <v>0</v>
      </c>
      <c r="V22" s="3">
        <v>0</v>
      </c>
      <c r="W22" s="3">
        <v>0</v>
      </c>
      <c r="X22" s="3">
        <v>-10572</v>
      </c>
      <c r="Y22" s="3">
        <v>-12814</v>
      </c>
      <c r="Z22" s="3">
        <v>-1250</v>
      </c>
      <c r="AA22" s="3">
        <v>-641</v>
      </c>
      <c r="AB22" s="3">
        <v>0</v>
      </c>
      <c r="AC22" s="3">
        <v>0</v>
      </c>
      <c r="AD22" s="3">
        <v>0</v>
      </c>
      <c r="AE22" s="3">
        <v>0</v>
      </c>
      <c r="AF22" s="3">
        <v>-1422</v>
      </c>
      <c r="AG22" s="3">
        <v>101441</v>
      </c>
      <c r="AH22" s="3" t="s"/>
      <c r="AI22" s="3">
        <v>0</v>
      </c>
      <c r="AJ22" s="3">
        <v>0</v>
      </c>
      <c r="AK22" s="3" t="s">
        <v>60</v>
      </c>
      <c r="AL22" s="3" t="s">
        <v>61</v>
      </c>
      <c r="AM22" s="3" t="s"/>
      <c r="AN22" s="3">
        <v>0</v>
      </c>
      <c r="AO22" s="3">
        <v>0</v>
      </c>
      <c r="AP22" s="3">
        <v>0</v>
      </c>
      <c r="AQ22" s="3">
        <v>0</v>
      </c>
      <c r="AR22" s="3">
        <v>0</v>
      </c>
    </row>
    <row r="23">
      <c r="A23" s="3">
        <v>17</v>
      </c>
      <c r="B23" s="3" t="s">
        <v>106</v>
      </c>
      <c r="C23" s="3" t="s"/>
      <c r="D23" s="3" t="s">
        <v>107</v>
      </c>
      <c r="E23" s="3" t="s">
        <v>102</v>
      </c>
      <c r="F23" s="3" t="s">
        <v>78</v>
      </c>
      <c r="G23" s="3" t="s">
        <v>99</v>
      </c>
      <c r="H23" s="3">
        <v>99000</v>
      </c>
      <c r="I23" s="3">
        <v>-13860</v>
      </c>
      <c r="J23" s="3">
        <v>0</v>
      </c>
      <c r="K23" s="3">
        <v>0</v>
      </c>
      <c r="L23" s="3">
        <v>0</v>
      </c>
      <c r="M23" s="3">
        <v>0</v>
      </c>
      <c r="N23" s="3">
        <v>0</v>
      </c>
      <c r="O23" s="3">
        <v>0</v>
      </c>
      <c r="P23" s="3">
        <v>0</v>
      </c>
      <c r="Q23" s="3">
        <v>0</v>
      </c>
      <c r="R23" s="3">
        <v>6500</v>
      </c>
      <c r="S23" s="3">
        <v>-6500</v>
      </c>
      <c r="T23" s="3">
        <v>0</v>
      </c>
      <c r="U23" s="3">
        <v>0</v>
      </c>
      <c r="V23" s="3">
        <v>0</v>
      </c>
      <c r="W23" s="3">
        <v>0</v>
      </c>
      <c r="X23" s="3">
        <v>-7024</v>
      </c>
      <c r="Y23" s="3">
        <v>-8514</v>
      </c>
      <c r="Z23" s="3">
        <v>-1250</v>
      </c>
      <c r="AA23" s="3">
        <v>-426</v>
      </c>
      <c r="AB23" s="3">
        <v>0</v>
      </c>
      <c r="AC23" s="3">
        <v>0</v>
      </c>
      <c r="AD23" s="3">
        <v>0</v>
      </c>
      <c r="AE23" s="3">
        <v>0</v>
      </c>
      <c r="AF23" s="3">
        <v>-945</v>
      </c>
      <c r="AG23" s="3">
        <v>66981</v>
      </c>
      <c r="AH23" s="3" t="s"/>
      <c r="AI23" s="3">
        <v>0</v>
      </c>
      <c r="AJ23" s="3">
        <v>0</v>
      </c>
      <c r="AK23" s="3" t="s">
        <v>60</v>
      </c>
      <c r="AL23" s="3" t="s">
        <v>61</v>
      </c>
      <c r="AM23" s="3" t="s"/>
      <c r="AN23" s="3">
        <v>0</v>
      </c>
      <c r="AO23" s="3">
        <v>0</v>
      </c>
      <c r="AP23" s="3">
        <v>0</v>
      </c>
      <c r="AQ23" s="3">
        <v>0</v>
      </c>
      <c r="AR23" s="3">
        <v>0</v>
      </c>
    </row>
    <row r="24">
      <c r="A24" s="3">
        <v>18</v>
      </c>
      <c r="B24" s="3" t="s">
        <v>108</v>
      </c>
      <c r="C24" s="3" t="s"/>
      <c r="D24" s="3" t="s">
        <v>109</v>
      </c>
      <c r="E24" s="3" t="s">
        <v>110</v>
      </c>
      <c r="F24" s="3" t="s">
        <v>73</v>
      </c>
      <c r="G24" s="3" t="s">
        <v>111</v>
      </c>
      <c r="H24" s="3">
        <v>149000</v>
      </c>
      <c r="I24" s="3">
        <v>-22350</v>
      </c>
      <c r="J24" s="3">
        <v>0</v>
      </c>
      <c r="K24" s="3">
        <v>0</v>
      </c>
      <c r="L24" s="3">
        <v>0</v>
      </c>
      <c r="M24" s="3">
        <v>0</v>
      </c>
      <c r="N24" s="3">
        <v>0</v>
      </c>
      <c r="O24" s="3">
        <v>0</v>
      </c>
      <c r="P24" s="3">
        <v>0</v>
      </c>
      <c r="Q24" s="3">
        <v>0</v>
      </c>
      <c r="R24" s="3">
        <v>8000</v>
      </c>
      <c r="S24" s="3">
        <v>-8000</v>
      </c>
      <c r="T24" s="3">
        <v>0</v>
      </c>
      <c r="U24" s="3">
        <v>0</v>
      </c>
      <c r="V24" s="3">
        <v>0</v>
      </c>
      <c r="W24" s="3">
        <v>-7828</v>
      </c>
      <c r="X24" s="3">
        <v>-10449</v>
      </c>
      <c r="Y24" s="3">
        <v>-12665</v>
      </c>
      <c r="Z24" s="3">
        <v>-1250</v>
      </c>
      <c r="AA24" s="3">
        <v>-634</v>
      </c>
      <c r="AB24" s="3">
        <v>0</v>
      </c>
      <c r="AC24" s="3">
        <v>0</v>
      </c>
      <c r="AD24" s="3">
        <v>0</v>
      </c>
      <c r="AE24" s="3">
        <v>0</v>
      </c>
      <c r="AF24" s="3">
        <v>-1406</v>
      </c>
      <c r="AG24" s="3">
        <v>92418</v>
      </c>
      <c r="AH24" s="3" t="s"/>
      <c r="AI24" s="3">
        <v>0</v>
      </c>
      <c r="AJ24" s="3">
        <v>0</v>
      </c>
      <c r="AK24" s="3" t="s">
        <v>60</v>
      </c>
      <c r="AL24" s="3" t="s">
        <v>61</v>
      </c>
      <c r="AM24" s="3" t="s"/>
      <c r="AN24" s="3">
        <v>0</v>
      </c>
      <c r="AO24" s="3">
        <v>0</v>
      </c>
      <c r="AP24" s="3">
        <v>0</v>
      </c>
      <c r="AQ24" s="3">
        <v>0</v>
      </c>
      <c r="AR24" s="3">
        <v>0</v>
      </c>
    </row>
    <row r="25">
      <c r="A25" s="3">
        <v>19</v>
      </c>
      <c r="B25" s="3" t="s">
        <v>112</v>
      </c>
      <c r="C25" s="3" t="s"/>
      <c r="D25" s="3" t="s">
        <v>113</v>
      </c>
      <c r="E25" s="3" t="s">
        <v>114</v>
      </c>
      <c r="F25" s="3" t="s">
        <v>53</v>
      </c>
      <c r="G25" s="3" t="s">
        <v>52</v>
      </c>
      <c r="H25" s="3">
        <v>149000</v>
      </c>
      <c r="I25" s="3">
        <v>-17880</v>
      </c>
      <c r="J25" s="3">
        <v>0</v>
      </c>
      <c r="K25" s="3">
        <v>0</v>
      </c>
      <c r="L25" s="3">
        <v>0</v>
      </c>
      <c r="M25" s="3">
        <v>0</v>
      </c>
      <c r="N25" s="3">
        <v>0</v>
      </c>
      <c r="O25" s="3">
        <v>0</v>
      </c>
      <c r="P25" s="3">
        <v>0</v>
      </c>
      <c r="Q25" s="3">
        <v>0</v>
      </c>
      <c r="R25" s="3">
        <v>8000</v>
      </c>
      <c r="S25" s="3">
        <v>-8000</v>
      </c>
      <c r="T25" s="3">
        <v>0</v>
      </c>
      <c r="U25" s="3">
        <v>0</v>
      </c>
      <c r="V25" s="3">
        <v>0</v>
      </c>
      <c r="W25" s="3">
        <v>0</v>
      </c>
      <c r="X25" s="3">
        <v>-10817</v>
      </c>
      <c r="Y25" s="3">
        <v>-13112</v>
      </c>
      <c r="Z25" s="3">
        <v>-1250</v>
      </c>
      <c r="AA25" s="3">
        <v>-656</v>
      </c>
      <c r="AB25" s="3">
        <v>0</v>
      </c>
      <c r="AC25" s="3">
        <v>0</v>
      </c>
      <c r="AD25" s="3">
        <v>0</v>
      </c>
      <c r="AE25" s="3">
        <v>0</v>
      </c>
      <c r="AF25" s="3">
        <v>-1455</v>
      </c>
      <c r="AG25" s="3">
        <v>103830</v>
      </c>
      <c r="AH25" s="3" t="s"/>
      <c r="AI25" s="3">
        <v>0</v>
      </c>
      <c r="AJ25" s="3">
        <v>0</v>
      </c>
      <c r="AK25" s="3" t="s">
        <v>60</v>
      </c>
      <c r="AL25" s="3" t="s">
        <v>61</v>
      </c>
      <c r="AM25" s="3" t="s"/>
      <c r="AN25" s="3">
        <v>0</v>
      </c>
      <c r="AO25" s="3">
        <v>0</v>
      </c>
      <c r="AP25" s="3">
        <v>0</v>
      </c>
      <c r="AQ25" s="3">
        <v>0</v>
      </c>
      <c r="AR25" s="3">
        <v>0</v>
      </c>
    </row>
    <row r="26">
      <c r="A26" s="3">
        <v>20</v>
      </c>
      <c r="B26" s="3" t="s">
        <v>115</v>
      </c>
      <c r="C26" s="3" t="s"/>
      <c r="D26" s="3" t="s">
        <v>116</v>
      </c>
      <c r="E26" s="3" t="s">
        <v>117</v>
      </c>
      <c r="F26" s="3" t="s">
        <v>73</v>
      </c>
      <c r="G26" s="3" t="s">
        <v>102</v>
      </c>
      <c r="H26" s="3">
        <v>198000</v>
      </c>
      <c r="I26" s="3">
        <v>-26730</v>
      </c>
      <c r="J26" s="3">
        <v>0</v>
      </c>
      <c r="K26" s="3">
        <v>0</v>
      </c>
      <c r="L26" s="3">
        <v>0</v>
      </c>
      <c r="M26" s="3">
        <v>0</v>
      </c>
      <c r="N26" s="3">
        <v>0</v>
      </c>
      <c r="O26" s="3">
        <v>0</v>
      </c>
      <c r="P26" s="3">
        <v>0</v>
      </c>
      <c r="Q26" s="3">
        <v>0</v>
      </c>
      <c r="R26" s="3">
        <v>38000</v>
      </c>
      <c r="S26" s="3">
        <v>-38000</v>
      </c>
      <c r="T26" s="3">
        <v>0</v>
      </c>
      <c r="U26" s="3">
        <v>0</v>
      </c>
      <c r="V26" s="3">
        <v>0</v>
      </c>
      <c r="W26" s="3">
        <v>0</v>
      </c>
      <c r="X26" s="3">
        <v>-14130</v>
      </c>
      <c r="Y26" s="3">
        <v>-17127</v>
      </c>
      <c r="Z26" s="3">
        <v>-1250</v>
      </c>
      <c r="AA26" s="3">
        <v>-857</v>
      </c>
      <c r="AB26" s="3">
        <v>0</v>
      </c>
      <c r="AC26" s="3">
        <v>0</v>
      </c>
      <c r="AD26" s="3">
        <v>0</v>
      </c>
      <c r="AE26" s="3">
        <v>0</v>
      </c>
      <c r="AF26" s="3">
        <v>-1902</v>
      </c>
      <c r="AG26" s="3">
        <v>136004</v>
      </c>
      <c r="AH26" s="3" t="s"/>
      <c r="AI26" s="3">
        <v>0</v>
      </c>
      <c r="AJ26" s="3">
        <v>0</v>
      </c>
      <c r="AK26" s="3" t="s">
        <v>60</v>
      </c>
      <c r="AL26" s="3" t="s">
        <v>61</v>
      </c>
      <c r="AM26" s="3" t="s"/>
      <c r="AN26" s="3">
        <v>0</v>
      </c>
      <c r="AO26" s="3">
        <v>0</v>
      </c>
      <c r="AP26" s="3">
        <v>0</v>
      </c>
      <c r="AQ26" s="3">
        <v>0</v>
      </c>
      <c r="AR26" s="3">
        <v>0</v>
      </c>
    </row>
    <row r="27">
      <c r="A27" s="3">
        <v>21</v>
      </c>
      <c r="B27" s="3" t="s">
        <v>118</v>
      </c>
      <c r="C27" s="3" t="s"/>
      <c r="D27" s="3" t="s">
        <v>119</v>
      </c>
      <c r="E27" s="3" t="s">
        <v>120</v>
      </c>
      <c r="F27" s="3" t="s">
        <v>53</v>
      </c>
      <c r="G27" s="3" t="s">
        <v>110</v>
      </c>
      <c r="H27" s="3">
        <v>149000</v>
      </c>
      <c r="I27" s="3">
        <v>-17880</v>
      </c>
      <c r="J27" s="3">
        <v>0</v>
      </c>
      <c r="K27" s="3">
        <v>0</v>
      </c>
      <c r="L27" s="3">
        <v>0</v>
      </c>
      <c r="M27" s="3">
        <v>0</v>
      </c>
      <c r="N27" s="3">
        <v>0</v>
      </c>
      <c r="O27" s="3">
        <v>0</v>
      </c>
      <c r="P27" s="3">
        <v>9200</v>
      </c>
      <c r="Q27" s="3">
        <v>0</v>
      </c>
      <c r="R27" s="3">
        <v>15000</v>
      </c>
      <c r="S27" s="3">
        <v>-24200</v>
      </c>
      <c r="T27" s="3">
        <v>0</v>
      </c>
      <c r="U27" s="3">
        <v>0</v>
      </c>
      <c r="V27" s="3">
        <v>0</v>
      </c>
      <c r="W27" s="3">
        <v>0</v>
      </c>
      <c r="X27" s="3">
        <v>-10817</v>
      </c>
      <c r="Y27" s="3">
        <v>-13112</v>
      </c>
      <c r="Z27" s="3">
        <v>-1250</v>
      </c>
      <c r="AA27" s="3">
        <v>-656</v>
      </c>
      <c r="AB27" s="3">
        <v>0</v>
      </c>
      <c r="AC27" s="3">
        <v>0</v>
      </c>
      <c r="AD27" s="3">
        <v>0</v>
      </c>
      <c r="AE27" s="3">
        <v>0</v>
      </c>
      <c r="AF27" s="3">
        <v>-1455</v>
      </c>
      <c r="AG27" s="3">
        <v>103830</v>
      </c>
      <c r="AH27" s="3" t="s"/>
      <c r="AI27" s="3">
        <v>0</v>
      </c>
      <c r="AJ27" s="3">
        <v>0</v>
      </c>
      <c r="AK27" s="3" t="s">
        <v>61</v>
      </c>
      <c r="AL27" s="3" t="s">
        <v>61</v>
      </c>
      <c r="AM27" s="3" t="s"/>
      <c r="AN27" s="3">
        <v>0</v>
      </c>
      <c r="AO27" s="3">
        <v>0</v>
      </c>
      <c r="AP27" s="3">
        <v>0</v>
      </c>
      <c r="AQ27" s="3">
        <v>0</v>
      </c>
      <c r="AR27" s="3">
        <v>0</v>
      </c>
    </row>
    <row r="28">
      <c r="A28" s="3">
        <v>22</v>
      </c>
      <c r="B28" s="3" t="s">
        <v>121</v>
      </c>
      <c r="C28" s="3" t="s"/>
      <c r="D28" s="3" t="s">
        <v>122</v>
      </c>
      <c r="E28" s="3" t="s">
        <v>120</v>
      </c>
      <c r="F28" s="3" t="s">
        <v>65</v>
      </c>
      <c r="G28" s="3" t="s">
        <v>110</v>
      </c>
      <c r="H28" s="3">
        <v>149000</v>
      </c>
      <c r="I28" s="3">
        <v>0</v>
      </c>
      <c r="J28" s="3">
        <v>0</v>
      </c>
      <c r="K28" s="3">
        <v>0</v>
      </c>
      <c r="L28" s="3">
        <v>0</v>
      </c>
      <c r="M28" s="3">
        <v>0</v>
      </c>
      <c r="N28" s="3">
        <v>0</v>
      </c>
      <c r="O28" s="3">
        <v>0</v>
      </c>
      <c r="P28" s="3">
        <v>0</v>
      </c>
      <c r="Q28" s="3">
        <v>0</v>
      </c>
      <c r="R28" s="3">
        <v>6500</v>
      </c>
      <c r="S28" s="3">
        <v>-6500</v>
      </c>
      <c r="T28" s="3">
        <v>0</v>
      </c>
      <c r="U28" s="3">
        <v>0</v>
      </c>
      <c r="V28" s="3">
        <v>0</v>
      </c>
      <c r="W28" s="3">
        <v>0</v>
      </c>
      <c r="X28" s="3">
        <v>-12293</v>
      </c>
      <c r="Y28" s="3">
        <v>-14900</v>
      </c>
      <c r="Z28" s="3">
        <v>-1250</v>
      </c>
      <c r="AA28" s="3">
        <v>-745</v>
      </c>
      <c r="AB28" s="3">
        <v>0</v>
      </c>
      <c r="AC28" s="3">
        <v>0</v>
      </c>
      <c r="AD28" s="3">
        <v>0</v>
      </c>
      <c r="AE28" s="3">
        <v>0</v>
      </c>
      <c r="AF28" s="3">
        <v>-1654</v>
      </c>
      <c r="AG28" s="3">
        <v>118158</v>
      </c>
      <c r="AH28" s="3" t="s"/>
      <c r="AI28" s="3">
        <v>0</v>
      </c>
      <c r="AJ28" s="3">
        <v>0</v>
      </c>
      <c r="AK28" s="3" t="s">
        <v>60</v>
      </c>
      <c r="AL28" s="3" t="s">
        <v>61</v>
      </c>
      <c r="AM28" s="3" t="s"/>
      <c r="AN28" s="3">
        <v>0</v>
      </c>
      <c r="AO28" s="3">
        <v>0</v>
      </c>
      <c r="AP28" s="3">
        <v>0</v>
      </c>
      <c r="AQ28" s="3">
        <v>0</v>
      </c>
      <c r="AR28" s="3">
        <v>0</v>
      </c>
    </row>
    <row r="29">
      <c r="A29" s="3">
        <v>23</v>
      </c>
      <c r="B29" s="3" t="s">
        <v>123</v>
      </c>
      <c r="C29" s="3" t="s"/>
      <c r="D29" s="3" t="s">
        <v>124</v>
      </c>
      <c r="E29" s="3" t="s">
        <v>120</v>
      </c>
      <c r="F29" s="3" t="s">
        <v>73</v>
      </c>
      <c r="G29" s="3" t="s">
        <v>110</v>
      </c>
      <c r="H29" s="3">
        <v>198000</v>
      </c>
      <c r="I29" s="3">
        <v>-29700</v>
      </c>
      <c r="J29" s="3">
        <v>0</v>
      </c>
      <c r="K29" s="3">
        <v>0</v>
      </c>
      <c r="L29" s="3">
        <v>0</v>
      </c>
      <c r="M29" s="3">
        <v>0</v>
      </c>
      <c r="N29" s="3">
        <v>0</v>
      </c>
      <c r="O29" s="3">
        <v>0</v>
      </c>
      <c r="P29" s="3">
        <v>0</v>
      </c>
      <c r="Q29" s="3">
        <v>0</v>
      </c>
      <c r="R29" s="3">
        <v>8000</v>
      </c>
      <c r="S29" s="3">
        <v>-8000</v>
      </c>
      <c r="T29" s="3">
        <v>0</v>
      </c>
      <c r="U29" s="3">
        <v>0</v>
      </c>
      <c r="V29" s="3">
        <v>0</v>
      </c>
      <c r="W29" s="3">
        <v>-11208</v>
      </c>
      <c r="X29" s="3">
        <v>-13885</v>
      </c>
      <c r="Y29" s="3">
        <v>-16831</v>
      </c>
      <c r="Z29" s="3">
        <v>-1250</v>
      </c>
      <c r="AA29" s="3">
        <v>-842</v>
      </c>
      <c r="AB29" s="3">
        <v>0</v>
      </c>
      <c r="AC29" s="3">
        <v>0</v>
      </c>
      <c r="AD29" s="3">
        <v>0</v>
      </c>
      <c r="AE29" s="3">
        <v>0</v>
      </c>
      <c r="AF29" s="3">
        <v>-1870</v>
      </c>
      <c r="AG29" s="3">
        <v>122414</v>
      </c>
      <c r="AH29" s="3" t="s"/>
      <c r="AI29" s="3">
        <v>0</v>
      </c>
      <c r="AJ29" s="3">
        <v>0</v>
      </c>
      <c r="AK29" s="3" t="s">
        <v>60</v>
      </c>
      <c r="AL29" s="3" t="s">
        <v>61</v>
      </c>
      <c r="AM29" s="3" t="s"/>
      <c r="AN29" s="3">
        <v>0</v>
      </c>
      <c r="AO29" s="3">
        <v>0</v>
      </c>
      <c r="AP29" s="3">
        <v>0</v>
      </c>
      <c r="AQ29" s="3">
        <v>0</v>
      </c>
      <c r="AR29" s="3">
        <v>0</v>
      </c>
    </row>
    <row r="30">
      <c r="A30" s="3">
        <v>24</v>
      </c>
      <c r="B30" s="3" t="s">
        <v>125</v>
      </c>
      <c r="C30" s="3" t="s"/>
      <c r="D30" s="3" t="s">
        <v>126</v>
      </c>
      <c r="E30" s="3" t="s">
        <v>120</v>
      </c>
      <c r="F30" s="3" t="s">
        <v>53</v>
      </c>
      <c r="G30" s="3" t="s">
        <v>110</v>
      </c>
      <c r="H30" s="3">
        <v>149000</v>
      </c>
      <c r="I30" s="3">
        <v>-17880</v>
      </c>
      <c r="J30" s="3">
        <v>0</v>
      </c>
      <c r="K30" s="3">
        <v>0</v>
      </c>
      <c r="L30" s="3">
        <v>0</v>
      </c>
      <c r="M30" s="3">
        <v>0</v>
      </c>
      <c r="N30" s="3">
        <v>0</v>
      </c>
      <c r="O30" s="3">
        <v>0</v>
      </c>
      <c r="P30" s="3">
        <v>21000</v>
      </c>
      <c r="Q30" s="3">
        <v>0</v>
      </c>
      <c r="R30" s="3">
        <v>15000</v>
      </c>
      <c r="S30" s="3">
        <v>-36000</v>
      </c>
      <c r="T30" s="3">
        <v>0</v>
      </c>
      <c r="U30" s="3">
        <v>0</v>
      </c>
      <c r="V30" s="3">
        <v>0</v>
      </c>
      <c r="W30" s="3">
        <v>-8483</v>
      </c>
      <c r="X30" s="3">
        <v>-10817</v>
      </c>
      <c r="Y30" s="3">
        <v>-13112</v>
      </c>
      <c r="Z30" s="3">
        <v>-1250</v>
      </c>
      <c r="AA30" s="3">
        <v>-656</v>
      </c>
      <c r="AB30" s="3">
        <v>0</v>
      </c>
      <c r="AC30" s="3">
        <v>0</v>
      </c>
      <c r="AD30" s="3">
        <v>0</v>
      </c>
      <c r="AE30" s="3">
        <v>0</v>
      </c>
      <c r="AF30" s="3">
        <v>-1455</v>
      </c>
      <c r="AG30" s="3">
        <v>95347</v>
      </c>
      <c r="AH30" s="3" t="s"/>
      <c r="AI30" s="3">
        <v>0</v>
      </c>
      <c r="AJ30" s="3">
        <v>0</v>
      </c>
      <c r="AK30" s="3" t="s">
        <v>60</v>
      </c>
      <c r="AL30" s="3" t="s">
        <v>61</v>
      </c>
      <c r="AM30" s="3" t="s"/>
      <c r="AN30" s="3">
        <v>0</v>
      </c>
      <c r="AO30" s="3">
        <v>0</v>
      </c>
      <c r="AP30" s="3">
        <v>0</v>
      </c>
      <c r="AQ30" s="3">
        <v>0</v>
      </c>
      <c r="AR30" s="3">
        <v>0</v>
      </c>
    </row>
    <row r="31">
      <c r="A31" s="3">
        <v>25</v>
      </c>
      <c r="B31" s="3" t="s">
        <v>127</v>
      </c>
      <c r="C31" s="3" t="s"/>
      <c r="D31" s="3" t="s">
        <v>128</v>
      </c>
      <c r="E31" s="3" t="s">
        <v>129</v>
      </c>
      <c r="F31" s="3" t="s">
        <v>73</v>
      </c>
      <c r="G31" s="3" t="s">
        <v>110</v>
      </c>
      <c r="H31" s="3">
        <v>149000</v>
      </c>
      <c r="I31" s="3">
        <v>-20860</v>
      </c>
      <c r="J31" s="3">
        <v>0</v>
      </c>
      <c r="K31" s="3">
        <v>0</v>
      </c>
      <c r="L31" s="3">
        <v>0</v>
      </c>
      <c r="M31" s="3">
        <v>0</v>
      </c>
      <c r="N31" s="3">
        <v>0</v>
      </c>
      <c r="O31" s="3">
        <v>0</v>
      </c>
      <c r="P31" s="3">
        <v>0</v>
      </c>
      <c r="Q31" s="3">
        <v>0</v>
      </c>
      <c r="R31" s="3">
        <v>6500</v>
      </c>
      <c r="S31" s="3">
        <v>-6500</v>
      </c>
      <c r="T31" s="3">
        <v>0</v>
      </c>
      <c r="U31" s="3">
        <v>0</v>
      </c>
      <c r="V31" s="3">
        <v>0</v>
      </c>
      <c r="W31" s="3">
        <v>-9601</v>
      </c>
      <c r="X31" s="3">
        <v>-10572</v>
      </c>
      <c r="Y31" s="3">
        <v>-12814</v>
      </c>
      <c r="Z31" s="3">
        <v>-1250</v>
      </c>
      <c r="AA31" s="3">
        <v>0</v>
      </c>
      <c r="AB31" s="3">
        <v>0</v>
      </c>
      <c r="AC31" s="3">
        <v>0</v>
      </c>
      <c r="AD31" s="3">
        <v>0</v>
      </c>
      <c r="AE31" s="3">
        <v>0</v>
      </c>
      <c r="AF31" s="3">
        <v>-1422</v>
      </c>
      <c r="AG31" s="3">
        <v>92481</v>
      </c>
      <c r="AH31" s="3" t="s"/>
      <c r="AI31" s="3">
        <v>0</v>
      </c>
      <c r="AJ31" s="3">
        <v>0</v>
      </c>
      <c r="AK31" s="3" t="s">
        <v>60</v>
      </c>
      <c r="AL31" s="3" t="s">
        <v>61</v>
      </c>
      <c r="AM31" s="3" t="s"/>
      <c r="AN31" s="3">
        <v>0</v>
      </c>
      <c r="AO31" s="3">
        <v>0</v>
      </c>
      <c r="AP31" s="3">
        <v>0</v>
      </c>
      <c r="AQ31" s="3">
        <v>0</v>
      </c>
      <c r="AR31" s="3">
        <v>0</v>
      </c>
    </row>
    <row r="32">
      <c r="A32" s="3">
        <v>26</v>
      </c>
      <c r="B32" s="3" t="s">
        <v>130</v>
      </c>
      <c r="C32" s="3" t="s"/>
      <c r="D32" s="3" t="s">
        <v>131</v>
      </c>
      <c r="E32" s="3" t="s">
        <v>117</v>
      </c>
      <c r="F32" s="3" t="s">
        <v>53</v>
      </c>
      <c r="G32" s="3" t="s">
        <v>114</v>
      </c>
      <c r="H32" s="3">
        <v>149000</v>
      </c>
      <c r="I32" s="3">
        <v>-29800</v>
      </c>
      <c r="J32" s="3">
        <v>0</v>
      </c>
      <c r="K32" s="3">
        <v>0</v>
      </c>
      <c r="L32" s="3">
        <v>0</v>
      </c>
      <c r="M32" s="3">
        <v>0</v>
      </c>
      <c r="N32" s="3">
        <v>0</v>
      </c>
      <c r="O32" s="3">
        <v>0</v>
      </c>
      <c r="P32" s="3">
        <v>0</v>
      </c>
      <c r="Q32" s="3">
        <v>0</v>
      </c>
      <c r="R32" s="3">
        <v>8000</v>
      </c>
      <c r="S32" s="3">
        <v>-8000</v>
      </c>
      <c r="T32" s="3">
        <v>0</v>
      </c>
      <c r="U32" s="3">
        <v>0</v>
      </c>
      <c r="V32" s="3">
        <v>0</v>
      </c>
      <c r="W32" s="3">
        <v>0</v>
      </c>
      <c r="X32" s="3">
        <v>-9834</v>
      </c>
      <c r="Y32" s="3">
        <v>-11920</v>
      </c>
      <c r="Z32" s="3">
        <v>-1250</v>
      </c>
      <c r="AA32" s="3">
        <v>-596</v>
      </c>
      <c r="AB32" s="3">
        <v>0</v>
      </c>
      <c r="AC32" s="3">
        <v>0</v>
      </c>
      <c r="AD32" s="3">
        <v>0</v>
      </c>
      <c r="AE32" s="3">
        <v>0</v>
      </c>
      <c r="AF32" s="3">
        <v>-1323</v>
      </c>
      <c r="AG32" s="3">
        <v>94277</v>
      </c>
      <c r="AH32" s="3" t="s"/>
      <c r="AI32" s="3">
        <v>0</v>
      </c>
      <c r="AJ32" s="3">
        <v>0</v>
      </c>
      <c r="AK32" s="3" t="s">
        <v>60</v>
      </c>
      <c r="AL32" s="3" t="s">
        <v>61</v>
      </c>
      <c r="AM32" s="3" t="s"/>
      <c r="AN32" s="3">
        <v>0</v>
      </c>
      <c r="AO32" s="3">
        <v>0</v>
      </c>
      <c r="AP32" s="3">
        <v>0</v>
      </c>
      <c r="AQ32" s="3">
        <v>0</v>
      </c>
      <c r="AR32" s="3">
        <v>0</v>
      </c>
    </row>
    <row r="33">
      <c r="A33" s="3">
        <v>27</v>
      </c>
      <c r="B33" s="3" t="s">
        <v>132</v>
      </c>
      <c r="C33" s="3" t="s"/>
      <c r="D33" s="3" t="s">
        <v>133</v>
      </c>
      <c r="E33" s="3" t="s">
        <v>134</v>
      </c>
      <c r="F33" s="3" t="s">
        <v>73</v>
      </c>
      <c r="G33" s="3" t="s">
        <v>135</v>
      </c>
      <c r="H33" s="3">
        <v>248000</v>
      </c>
      <c r="I33" s="3">
        <v>-32730</v>
      </c>
      <c r="J33" s="3">
        <v>0</v>
      </c>
      <c r="K33" s="3">
        <v>0</v>
      </c>
      <c r="L33" s="3">
        <v>0</v>
      </c>
      <c r="M33" s="3">
        <v>0</v>
      </c>
      <c r="N33" s="3">
        <v>0</v>
      </c>
      <c r="O33" s="3">
        <v>0</v>
      </c>
      <c r="P33" s="3">
        <v>0</v>
      </c>
      <c r="Q33" s="3">
        <v>0</v>
      </c>
      <c r="R33" s="3">
        <v>6500</v>
      </c>
      <c r="S33" s="3">
        <v>-6500</v>
      </c>
      <c r="T33" s="3">
        <v>0</v>
      </c>
      <c r="U33" s="3">
        <v>0</v>
      </c>
      <c r="V33" s="3">
        <v>0</v>
      </c>
      <c r="W33" s="3">
        <v>0</v>
      </c>
      <c r="X33" s="3">
        <v>-17760</v>
      </c>
      <c r="Y33" s="3">
        <v>-21527</v>
      </c>
      <c r="Z33" s="3">
        <v>-1250</v>
      </c>
      <c r="AA33" s="3">
        <v>-1077</v>
      </c>
      <c r="AB33" s="3">
        <v>0</v>
      </c>
      <c r="AC33" s="3">
        <v>0</v>
      </c>
      <c r="AD33" s="3">
        <v>0</v>
      </c>
      <c r="AE33" s="3">
        <v>0</v>
      </c>
      <c r="AF33" s="3">
        <v>-2390</v>
      </c>
      <c r="AG33" s="3">
        <v>171266</v>
      </c>
      <c r="AH33" s="3" t="s"/>
      <c r="AI33" s="3">
        <v>0</v>
      </c>
      <c r="AJ33" s="3">
        <v>0</v>
      </c>
      <c r="AK33" s="3" t="s">
        <v>60</v>
      </c>
      <c r="AL33" s="3" t="s">
        <v>61</v>
      </c>
      <c r="AM33" s="3" t="s"/>
      <c r="AN33" s="3">
        <v>0</v>
      </c>
      <c r="AO33" s="3">
        <v>0</v>
      </c>
      <c r="AP33" s="3">
        <v>0</v>
      </c>
      <c r="AQ33" s="3">
        <v>0</v>
      </c>
      <c r="AR33" s="3">
        <v>0</v>
      </c>
    </row>
    <row r="34">
      <c r="A34" s="3">
        <v>28</v>
      </c>
      <c r="B34" s="3" t="s">
        <v>136</v>
      </c>
      <c r="C34" s="3" t="s"/>
      <c r="D34" s="3" t="s">
        <v>137</v>
      </c>
      <c r="E34" s="3" t="s">
        <v>138</v>
      </c>
      <c r="F34" s="3" t="s">
        <v>65</v>
      </c>
      <c r="G34" s="3" t="s">
        <v>117</v>
      </c>
      <c r="H34" s="3">
        <v>298000</v>
      </c>
      <c r="I34" s="3">
        <v>-38740</v>
      </c>
      <c r="J34" s="3">
        <v>0</v>
      </c>
      <c r="K34" s="3">
        <v>0</v>
      </c>
      <c r="L34" s="3">
        <v>0</v>
      </c>
      <c r="M34" s="3">
        <v>0</v>
      </c>
      <c r="N34" s="3">
        <v>0</v>
      </c>
      <c r="O34" s="3">
        <v>0</v>
      </c>
      <c r="P34" s="3">
        <v>0</v>
      </c>
      <c r="Q34" s="3">
        <v>0</v>
      </c>
      <c r="R34" s="3">
        <v>8000</v>
      </c>
      <c r="S34" s="3">
        <v>-8000</v>
      </c>
      <c r="T34" s="3">
        <v>0</v>
      </c>
      <c r="U34" s="3">
        <v>0</v>
      </c>
      <c r="V34" s="3">
        <v>0</v>
      </c>
      <c r="W34" s="3">
        <v>0</v>
      </c>
      <c r="X34" s="3">
        <v>-21389</v>
      </c>
      <c r="Y34" s="3">
        <v>-25926</v>
      </c>
      <c r="Z34" s="3">
        <v>-1250</v>
      </c>
      <c r="AA34" s="3">
        <v>-649</v>
      </c>
      <c r="AB34" s="3">
        <v>0</v>
      </c>
      <c r="AC34" s="3">
        <v>0</v>
      </c>
      <c r="AD34" s="3">
        <v>0</v>
      </c>
      <c r="AE34" s="3">
        <v>0</v>
      </c>
      <c r="AF34" s="3">
        <v>-2878</v>
      </c>
      <c r="AG34" s="3">
        <v>207168</v>
      </c>
      <c r="AH34" s="3" t="s"/>
      <c r="AI34" s="3">
        <v>0</v>
      </c>
      <c r="AJ34" s="3">
        <v>0</v>
      </c>
      <c r="AK34" s="3" t="s">
        <v>60</v>
      </c>
      <c r="AL34" s="3" t="s">
        <v>61</v>
      </c>
      <c r="AM34" s="3" t="s"/>
      <c r="AN34" s="3">
        <v>0</v>
      </c>
      <c r="AO34" s="3">
        <v>0</v>
      </c>
      <c r="AP34" s="3">
        <v>0</v>
      </c>
      <c r="AQ34" s="3">
        <v>0</v>
      </c>
      <c r="AR34" s="3">
        <v>0</v>
      </c>
    </row>
    <row r="35">
      <c r="A35" s="3">
        <v>29</v>
      </c>
      <c r="B35" s="3" t="s">
        <v>139</v>
      </c>
      <c r="C35" s="3" t="s"/>
      <c r="D35" s="3" t="s">
        <v>140</v>
      </c>
      <c r="E35" s="3" t="s">
        <v>141</v>
      </c>
      <c r="F35" s="3" t="s">
        <v>73</v>
      </c>
      <c r="G35" s="3" t="s">
        <v>117</v>
      </c>
      <c r="H35" s="3">
        <v>149000</v>
      </c>
      <c r="I35" s="3">
        <v>-19370</v>
      </c>
      <c r="J35" s="3">
        <v>0</v>
      </c>
      <c r="K35" s="3">
        <v>0</v>
      </c>
      <c r="L35" s="3">
        <v>0</v>
      </c>
      <c r="M35" s="3">
        <v>0</v>
      </c>
      <c r="N35" s="3">
        <v>0</v>
      </c>
      <c r="O35" s="3">
        <v>0</v>
      </c>
      <c r="P35" s="3">
        <v>0</v>
      </c>
      <c r="Q35" s="3">
        <v>0</v>
      </c>
      <c r="R35" s="3">
        <v>49000</v>
      </c>
      <c r="S35" s="3">
        <v>-49000</v>
      </c>
      <c r="T35" s="3">
        <v>0</v>
      </c>
      <c r="U35" s="3">
        <v>0</v>
      </c>
      <c r="V35" s="3">
        <v>0</v>
      </c>
      <c r="W35" s="3">
        <v>0</v>
      </c>
      <c r="X35" s="3">
        <v>-10694</v>
      </c>
      <c r="Y35" s="3">
        <v>-11018</v>
      </c>
      <c r="Z35" s="3">
        <v>-1250</v>
      </c>
      <c r="AA35" s="3">
        <v>-649</v>
      </c>
      <c r="AB35" s="3">
        <v>0</v>
      </c>
      <c r="AC35" s="3">
        <v>0</v>
      </c>
      <c r="AD35" s="3">
        <v>0</v>
      </c>
      <c r="AE35" s="3">
        <v>0</v>
      </c>
      <c r="AF35" s="3">
        <v>-1439</v>
      </c>
      <c r="AG35" s="3">
        <v>104580</v>
      </c>
      <c r="AH35" s="3" t="s"/>
      <c r="AI35" s="3">
        <v>0</v>
      </c>
      <c r="AJ35" s="3">
        <v>0</v>
      </c>
      <c r="AK35" s="3" t="s">
        <v>60</v>
      </c>
      <c r="AL35" s="3" t="s">
        <v>61</v>
      </c>
      <c r="AM35" s="3" t="s"/>
      <c r="AN35" s="3">
        <v>0</v>
      </c>
      <c r="AO35" s="3">
        <v>0</v>
      </c>
      <c r="AP35" s="3">
        <v>0</v>
      </c>
      <c r="AQ35" s="3">
        <v>0</v>
      </c>
      <c r="AR35" s="3">
        <v>0</v>
      </c>
    </row>
    <row r="36">
      <c r="A36" s="3">
        <v>30</v>
      </c>
      <c r="B36" s="3" t="s">
        <v>142</v>
      </c>
      <c r="C36" s="3" t="s"/>
      <c r="D36" s="3" t="s">
        <v>143</v>
      </c>
      <c r="E36" s="3" t="s">
        <v>144</v>
      </c>
      <c r="F36" s="3" t="s">
        <v>53</v>
      </c>
      <c r="G36" s="3" t="s">
        <v>120</v>
      </c>
      <c r="H36" s="3">
        <v>149000</v>
      </c>
      <c r="I36" s="3">
        <v>-17880</v>
      </c>
      <c r="J36" s="3">
        <v>0</v>
      </c>
      <c r="K36" s="3">
        <v>0</v>
      </c>
      <c r="L36" s="3">
        <v>0</v>
      </c>
      <c r="M36" s="3">
        <v>0</v>
      </c>
      <c r="N36" s="3">
        <v>0</v>
      </c>
      <c r="O36" s="3">
        <v>0</v>
      </c>
      <c r="P36" s="3">
        <v>0</v>
      </c>
      <c r="Q36" s="3">
        <v>0</v>
      </c>
      <c r="R36" s="3">
        <v>6500</v>
      </c>
      <c r="S36" s="3">
        <v>-6500</v>
      </c>
      <c r="T36" s="3">
        <v>0</v>
      </c>
      <c r="U36" s="3">
        <v>0</v>
      </c>
      <c r="V36" s="3">
        <v>0</v>
      </c>
      <c r="W36" s="3">
        <v>0</v>
      </c>
      <c r="X36" s="3">
        <v>-10817</v>
      </c>
      <c r="Y36" s="3">
        <v>-13112</v>
      </c>
      <c r="Z36" s="3">
        <v>-1250</v>
      </c>
      <c r="AA36" s="3">
        <v>-656</v>
      </c>
      <c r="AB36" s="3">
        <v>0</v>
      </c>
      <c r="AC36" s="3">
        <v>0</v>
      </c>
      <c r="AD36" s="3">
        <v>0</v>
      </c>
      <c r="AE36" s="3">
        <v>0</v>
      </c>
      <c r="AF36" s="3">
        <v>-1455</v>
      </c>
      <c r="AG36" s="3">
        <v>103830</v>
      </c>
      <c r="AH36" s="3" t="s"/>
      <c r="AI36" s="3">
        <v>0</v>
      </c>
      <c r="AJ36" s="3">
        <v>0</v>
      </c>
      <c r="AK36" s="3" t="s">
        <v>60</v>
      </c>
      <c r="AL36" s="3" t="s">
        <v>61</v>
      </c>
      <c r="AM36" s="3" t="s"/>
      <c r="AN36" s="3">
        <v>0</v>
      </c>
      <c r="AO36" s="3">
        <v>0</v>
      </c>
      <c r="AP36" s="3">
        <v>0</v>
      </c>
      <c r="AQ36" s="3">
        <v>0</v>
      </c>
      <c r="AR36" s="3">
        <v>0</v>
      </c>
    </row>
    <row r="37">
      <c r="A37" s="3">
        <v>31</v>
      </c>
      <c r="B37" s="3" t="s">
        <v>145</v>
      </c>
      <c r="C37" s="3" t="s"/>
      <c r="D37" s="3" t="s">
        <v>146</v>
      </c>
      <c r="E37" s="3" t="s">
        <v>147</v>
      </c>
      <c r="F37" s="3" t="s">
        <v>73</v>
      </c>
      <c r="G37" s="3" t="s">
        <v>120</v>
      </c>
      <c r="H37" s="3">
        <v>149000</v>
      </c>
      <c r="I37" s="3">
        <v>-19370</v>
      </c>
      <c r="J37" s="3">
        <v>0</v>
      </c>
      <c r="K37" s="3">
        <v>0</v>
      </c>
      <c r="L37" s="3">
        <v>0</v>
      </c>
      <c r="M37" s="3">
        <v>0</v>
      </c>
      <c r="N37" s="3">
        <v>0</v>
      </c>
      <c r="O37" s="3">
        <v>0</v>
      </c>
      <c r="P37" s="3">
        <v>0</v>
      </c>
      <c r="Q37" s="3">
        <v>0</v>
      </c>
      <c r="R37" s="3">
        <v>14000</v>
      </c>
      <c r="S37" s="3">
        <v>-14000</v>
      </c>
      <c r="T37" s="3">
        <v>0</v>
      </c>
      <c r="U37" s="3">
        <v>0</v>
      </c>
      <c r="V37" s="3">
        <v>0</v>
      </c>
      <c r="W37" s="3">
        <v>-9713</v>
      </c>
      <c r="X37" s="3">
        <v>-10694</v>
      </c>
      <c r="Y37" s="3">
        <v>-11018</v>
      </c>
      <c r="Z37" s="3">
        <v>-1250</v>
      </c>
      <c r="AA37" s="3">
        <v>-649</v>
      </c>
      <c r="AB37" s="3">
        <v>0</v>
      </c>
      <c r="AC37" s="3">
        <v>0</v>
      </c>
      <c r="AD37" s="3">
        <v>0</v>
      </c>
      <c r="AE37" s="3">
        <v>0</v>
      </c>
      <c r="AF37" s="3">
        <v>-1439</v>
      </c>
      <c r="AG37" s="3">
        <v>94867</v>
      </c>
      <c r="AH37" s="3" t="s"/>
      <c r="AI37" s="3">
        <v>0</v>
      </c>
      <c r="AJ37" s="3">
        <v>0</v>
      </c>
      <c r="AK37" s="3" t="s">
        <v>54</v>
      </c>
      <c r="AL37" s="3" t="s">
        <v>55</v>
      </c>
      <c r="AM37" s="3" t="s"/>
      <c r="AN37" s="3">
        <v>0</v>
      </c>
      <c r="AO37" s="3">
        <v>0</v>
      </c>
      <c r="AP37" s="3">
        <v>0</v>
      </c>
      <c r="AQ37" s="3">
        <v>0</v>
      </c>
      <c r="AR37" s="3">
        <v>0</v>
      </c>
    </row>
    <row r="38">
      <c r="A38" s="3">
        <v>32</v>
      </c>
      <c r="B38" s="3" t="s">
        <v>148</v>
      </c>
      <c r="C38" s="3" t="s"/>
      <c r="D38" s="3" t="s">
        <v>131</v>
      </c>
      <c r="E38" s="3" t="s">
        <v>149</v>
      </c>
      <c r="F38" s="3" t="s">
        <v>53</v>
      </c>
      <c r="G38" s="3" t="s">
        <v>134</v>
      </c>
      <c r="H38" s="3">
        <v>149000</v>
      </c>
      <c r="I38" s="3">
        <v>-29800</v>
      </c>
      <c r="J38" s="3">
        <v>0</v>
      </c>
      <c r="K38" s="3">
        <v>0</v>
      </c>
      <c r="L38" s="3">
        <v>0</v>
      </c>
      <c r="M38" s="3">
        <v>0</v>
      </c>
      <c r="N38" s="3">
        <v>0</v>
      </c>
      <c r="O38" s="3">
        <v>0</v>
      </c>
      <c r="P38" s="3">
        <v>0</v>
      </c>
      <c r="Q38" s="3">
        <v>0</v>
      </c>
      <c r="R38" s="3">
        <v>8000</v>
      </c>
      <c r="S38" s="3">
        <v>-8000</v>
      </c>
      <c r="T38" s="3">
        <v>0</v>
      </c>
      <c r="U38" s="3">
        <v>0</v>
      </c>
      <c r="V38" s="3">
        <v>0</v>
      </c>
      <c r="W38" s="3">
        <v>0</v>
      </c>
      <c r="X38" s="3">
        <v>-9834</v>
      </c>
      <c r="Y38" s="3">
        <v>-10132</v>
      </c>
      <c r="Z38" s="3">
        <v>-1250</v>
      </c>
      <c r="AA38" s="3">
        <v>-596</v>
      </c>
      <c r="AB38" s="3">
        <v>0</v>
      </c>
      <c r="AC38" s="3">
        <v>0</v>
      </c>
      <c r="AD38" s="3">
        <v>0</v>
      </c>
      <c r="AE38" s="3">
        <v>0</v>
      </c>
      <c r="AF38" s="3">
        <v>-1323</v>
      </c>
      <c r="AG38" s="3">
        <v>96065</v>
      </c>
      <c r="AH38" s="3" t="s"/>
      <c r="AI38" s="3">
        <v>0</v>
      </c>
      <c r="AJ38" s="3">
        <v>0</v>
      </c>
      <c r="AK38" s="3" t="s">
        <v>60</v>
      </c>
      <c r="AL38" s="3" t="s">
        <v>61</v>
      </c>
      <c r="AM38" s="3" t="s"/>
      <c r="AN38" s="3">
        <v>0</v>
      </c>
      <c r="AO38" s="3">
        <v>0</v>
      </c>
      <c r="AP38" s="3">
        <v>0</v>
      </c>
      <c r="AQ38" s="3">
        <v>0</v>
      </c>
      <c r="AR38" s="3">
        <v>0</v>
      </c>
    </row>
    <row r="39">
      <c r="A39" s="3">
        <v>33</v>
      </c>
      <c r="B39" s="3" t="s">
        <v>150</v>
      </c>
      <c r="C39" s="3" t="s"/>
      <c r="D39" s="3" t="s">
        <v>151</v>
      </c>
      <c r="E39" s="3" t="s">
        <v>149</v>
      </c>
      <c r="F39" s="3" t="s">
        <v>65</v>
      </c>
      <c r="G39" s="3" t="s">
        <v>134</v>
      </c>
      <c r="H39" s="3">
        <v>99000</v>
      </c>
      <c r="I39" s="3">
        <v>0</v>
      </c>
      <c r="J39" s="3">
        <v>0</v>
      </c>
      <c r="K39" s="3">
        <v>0</v>
      </c>
      <c r="L39" s="3">
        <v>0</v>
      </c>
      <c r="M39" s="3">
        <v>0</v>
      </c>
      <c r="N39" s="3">
        <v>0</v>
      </c>
      <c r="O39" s="3">
        <v>0</v>
      </c>
      <c r="P39" s="3">
        <v>0</v>
      </c>
      <c r="Q39" s="3">
        <v>0</v>
      </c>
      <c r="R39" s="3">
        <v>13000</v>
      </c>
      <c r="S39" s="3">
        <v>-13000</v>
      </c>
      <c r="T39" s="3">
        <v>0</v>
      </c>
      <c r="U39" s="3">
        <v>0</v>
      </c>
      <c r="V39" s="3">
        <v>0</v>
      </c>
      <c r="W39" s="3">
        <v>-7418</v>
      </c>
      <c r="X39" s="3">
        <v>-8168</v>
      </c>
      <c r="Y39" s="3">
        <v>-8415</v>
      </c>
      <c r="Z39" s="3">
        <v>-1250</v>
      </c>
      <c r="AA39" s="3">
        <v>-495</v>
      </c>
      <c r="AB39" s="3">
        <v>0</v>
      </c>
      <c r="AC39" s="3">
        <v>0</v>
      </c>
      <c r="AD39" s="3">
        <v>0</v>
      </c>
      <c r="AE39" s="3">
        <v>0</v>
      </c>
      <c r="AF39" s="3">
        <v>-1099</v>
      </c>
      <c r="AG39" s="3">
        <v>72155</v>
      </c>
      <c r="AH39" s="3" t="s"/>
      <c r="AI39" s="3">
        <v>0</v>
      </c>
      <c r="AJ39" s="3">
        <v>0</v>
      </c>
      <c r="AK39" s="3" t="s">
        <v>54</v>
      </c>
      <c r="AL39" s="3" t="s">
        <v>55</v>
      </c>
      <c r="AM39" s="3" t="s"/>
      <c r="AN39" s="3">
        <v>0</v>
      </c>
      <c r="AO39" s="3">
        <v>0</v>
      </c>
      <c r="AP39" s="3">
        <v>0</v>
      </c>
      <c r="AQ39" s="3">
        <v>0</v>
      </c>
      <c r="AR39" s="3">
        <v>0</v>
      </c>
    </row>
    <row r="40">
      <c r="A40" s="3">
        <v>34</v>
      </c>
      <c r="B40" s="3" t="s">
        <v>152</v>
      </c>
      <c r="C40" s="3" t="s"/>
      <c r="D40" s="3" t="s">
        <v>153</v>
      </c>
      <c r="E40" s="3" t="s">
        <v>154</v>
      </c>
      <c r="F40" s="3" t="s">
        <v>155</v>
      </c>
      <c r="G40" s="3" t="s">
        <v>134</v>
      </c>
      <c r="H40" s="3">
        <v>99000</v>
      </c>
      <c r="I40" s="3">
        <v>-12870</v>
      </c>
      <c r="J40" s="3">
        <v>0</v>
      </c>
      <c r="K40" s="3">
        <v>0</v>
      </c>
      <c r="L40" s="3">
        <v>0</v>
      </c>
      <c r="M40" s="3">
        <v>0</v>
      </c>
      <c r="N40" s="3">
        <v>0</v>
      </c>
      <c r="O40" s="3">
        <v>0</v>
      </c>
      <c r="P40" s="3">
        <v>0</v>
      </c>
      <c r="Q40" s="3">
        <v>0</v>
      </c>
      <c r="R40" s="3">
        <v>13000</v>
      </c>
      <c r="S40" s="3">
        <v>-13000</v>
      </c>
      <c r="T40" s="3">
        <v>0</v>
      </c>
      <c r="U40" s="3">
        <v>0</v>
      </c>
      <c r="V40" s="3">
        <v>0</v>
      </c>
      <c r="W40" s="3">
        <v>0</v>
      </c>
      <c r="X40" s="3">
        <v>-7106</v>
      </c>
      <c r="Y40" s="3">
        <v>-7321</v>
      </c>
      <c r="Z40" s="3">
        <v>-1250</v>
      </c>
      <c r="AA40" s="3">
        <v>-431</v>
      </c>
      <c r="AB40" s="3">
        <v>0</v>
      </c>
      <c r="AC40" s="3">
        <v>0</v>
      </c>
      <c r="AD40" s="3">
        <v>0</v>
      </c>
      <c r="AE40" s="3">
        <v>0</v>
      </c>
      <c r="AF40" s="3">
        <v>-956</v>
      </c>
      <c r="AG40" s="3">
        <v>69066</v>
      </c>
      <c r="AH40" s="3" t="s"/>
      <c r="AI40" s="3">
        <v>0</v>
      </c>
      <c r="AJ40" s="3">
        <v>0</v>
      </c>
      <c r="AK40" s="3" t="s">
        <v>54</v>
      </c>
      <c r="AL40" s="3" t="s">
        <v>55</v>
      </c>
      <c r="AM40" s="3" t="s"/>
      <c r="AN40" s="3">
        <v>0</v>
      </c>
      <c r="AO40" s="3">
        <v>0</v>
      </c>
      <c r="AP40" s="3">
        <v>0</v>
      </c>
      <c r="AQ40" s="3">
        <v>0</v>
      </c>
      <c r="AR40" s="3">
        <v>0</v>
      </c>
    </row>
    <row r="41">
      <c r="A41" s="3">
        <v>35</v>
      </c>
      <c r="B41" s="3" t="s">
        <v>156</v>
      </c>
      <c r="C41" s="3" t="s"/>
      <c r="D41" s="3" t="s">
        <v>157</v>
      </c>
      <c r="E41" s="3" t="s">
        <v>154</v>
      </c>
      <c r="F41" s="3" t="s">
        <v>73</v>
      </c>
      <c r="G41" s="3" t="s">
        <v>4</v>
      </c>
      <c r="H41" s="3">
        <v>99000</v>
      </c>
      <c r="I41" s="3">
        <v>-13860</v>
      </c>
      <c r="J41" s="3">
        <v>0</v>
      </c>
      <c r="K41" s="3">
        <v>0</v>
      </c>
      <c r="L41" s="3">
        <v>0</v>
      </c>
      <c r="M41" s="3">
        <v>0</v>
      </c>
      <c r="N41" s="3">
        <v>0</v>
      </c>
      <c r="O41" s="3">
        <v>0</v>
      </c>
      <c r="P41" s="3">
        <v>0</v>
      </c>
      <c r="Q41" s="3">
        <v>0</v>
      </c>
      <c r="R41" s="3">
        <v>8000</v>
      </c>
      <c r="S41" s="3">
        <v>-8000</v>
      </c>
      <c r="T41" s="3">
        <v>0</v>
      </c>
      <c r="U41" s="3">
        <v>0</v>
      </c>
      <c r="V41" s="3">
        <v>0</v>
      </c>
      <c r="W41" s="3">
        <v>0</v>
      </c>
      <c r="X41" s="3">
        <v>-7024</v>
      </c>
      <c r="Y41" s="3">
        <v>-7237</v>
      </c>
      <c r="Z41" s="3">
        <v>-1250</v>
      </c>
      <c r="AA41" s="3">
        <v>-426</v>
      </c>
      <c r="AB41" s="3">
        <v>0</v>
      </c>
      <c r="AC41" s="3">
        <v>0</v>
      </c>
      <c r="AD41" s="3">
        <v>0</v>
      </c>
      <c r="AE41" s="3">
        <v>0</v>
      </c>
      <c r="AF41" s="3">
        <v>-945</v>
      </c>
      <c r="AG41" s="3">
        <v>68258</v>
      </c>
      <c r="AH41" s="3" t="s"/>
      <c r="AI41" s="3">
        <v>0</v>
      </c>
      <c r="AJ41" s="3">
        <v>0</v>
      </c>
      <c r="AK41" s="3" t="s">
        <v>60</v>
      </c>
      <c r="AL41" s="3" t="s">
        <v>61</v>
      </c>
      <c r="AM41" s="3" t="s"/>
      <c r="AN41" s="3">
        <v>0</v>
      </c>
      <c r="AO41" s="3">
        <v>0</v>
      </c>
      <c r="AP41" s="3">
        <v>0</v>
      </c>
      <c r="AQ41" s="3">
        <v>0</v>
      </c>
      <c r="AR41" s="3">
        <v>0</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sheetPr>
    <pageSetUpPr/>
  </sheetPr>
  <dimension ref="A1:D94"/>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4" width="25"/>
    <col customWidth="true" max="16384" min="1" style="4" width="25"/>
    <col customWidth="true" max="16384" min="1" style="4" width="25"/>
    <col customWidth="true" max="16384" min="1" style="4" width="25"/>
    <col customWidth="true" max="1" min="1" style="1" width="25"/>
    <col customWidth="true" max="16384" min="1" style="4" width="25"/>
    <col customWidth="true" max="16384" min="1" style="4" width="25"/>
    <col customWidth="true" max="16384" min="1" style="4" width="25"/>
    <col customWidth="true" max="16384" min="1" style="4" width="25"/>
    <col customWidth="true" max="4" min="2" style="1" width="25"/>
  </cols>
  <sheetData>
    <row r="1" ht="17.25" customHeight="true">
      <c r="A1" s="5" t="s">
        <v>158</v>
      </c>
      <c r="B1" s="6" t="s"/>
      <c r="C1" s="6" t="s"/>
      <c r="D1" s="6" t="s"/>
    </row>
    <row r="2" ht="18.35" customHeight="true">
      <c r="A2" s="6" t="s"/>
      <c r="B2" s="6" t="s"/>
      <c r="C2" s="6" t="s"/>
      <c r="D2" s="6" t="s"/>
    </row>
    <row r="3" ht="18.35" customHeight="true">
      <c r="A3" s="6" t="s"/>
      <c r="B3" s="6" t="s"/>
      <c r="C3" s="6" t="s"/>
      <c r="D3" s="6" t="s"/>
    </row>
    <row r="4" ht="18.35" customHeight="true">
      <c r="A4" s="6" t="s"/>
      <c r="B4" s="6" t="s"/>
      <c r="C4" s="6" t="s"/>
      <c r="D4" s="6" t="s"/>
    </row>
    <row r="5" ht="18" customHeight="true">
      <c r="A5" s="7" t="s">
        <v>159</v>
      </c>
      <c r="B5" s="7" t="s"/>
      <c r="C5" s="7" t="s"/>
      <c r="D5" s="7" t="s"/>
    </row>
    <row r="6" ht="15.5" customHeight="true">
      <c r="A6" s="8" t="s">
        <v>0</v>
      </c>
      <c r="B6" s="9" t="s">
        <v>3</v>
      </c>
      <c r="C6" s="9" t="s"/>
      <c r="D6" s="9" t="s"/>
    </row>
    <row r="7" ht="15.5" customHeight="true">
      <c r="A7" s="8" t="s">
        <v>1</v>
      </c>
      <c r="B7" s="9" t="s">
        <v>4</v>
      </c>
      <c r="C7" s="9" t="s"/>
      <c r="D7" s="9" t="s"/>
    </row>
    <row r="8" ht="15.5" customHeight="true">
      <c r="A8" s="8" t="s">
        <v>2</v>
      </c>
      <c r="B8" s="9" t="s">
        <v>5</v>
      </c>
      <c r="C8" s="9" t="s"/>
      <c r="D8" s="9" t="s"/>
    </row>
    <row r="9" ht="18.35" customHeight="true">
      <c r="A9" s="10" t="s"/>
      <c r="B9" s="11" t="s"/>
      <c r="C9" s="11" t="s"/>
      <c r="D9" s="11" t="s"/>
    </row>
    <row r="10" ht="20.4" customHeight="true">
      <c r="A10" s="12" t="s">
        <v>160</v>
      </c>
      <c r="B10" s="12" t="s"/>
      <c r="C10" s="12" t="s"/>
      <c r="D10" s="12" t="s">
        <v>161</v>
      </c>
    </row>
    <row r="11">
      <c r="A11" s="13" t="s">
        <v>162</v>
      </c>
      <c r="B11" s="13" t="s"/>
      <c r="C11" s="13" t="s"/>
      <c r="D11" s="13">
        <v>5432310</v>
      </c>
    </row>
    <row r="12">
      <c r="A12" s="14" t="s">
        <v>163</v>
      </c>
      <c r="B12" s="14" t="s"/>
      <c r="C12" s="14" t="s"/>
      <c r="D12" s="14">
        <v>5432310</v>
      </c>
    </row>
    <row r="13">
      <c r="A13" s="2" t="s"/>
      <c r="B13" s="2" t="s">
        <v>14</v>
      </c>
      <c r="C13" s="2">
        <v>6252000</v>
      </c>
      <c r="D13" s="2" t="s"/>
    </row>
    <row r="14">
      <c r="A14" s="2" t="s"/>
      <c r="B14" s="2" t="s">
        <v>15</v>
      </c>
      <c r="C14" s="2">
        <v>-819690</v>
      </c>
      <c r="D14" s="2" t="s"/>
    </row>
    <row r="15">
      <c r="A15" s="2" t="s"/>
      <c r="B15" s="2" t="s">
        <v>16</v>
      </c>
      <c r="C15" s="2">
        <v>0</v>
      </c>
      <c r="D15" s="2" t="s"/>
    </row>
    <row r="16">
      <c r="A16" s="2" t="s"/>
      <c r="B16" s="2" t="s"/>
      <c r="C16" s="2" t="s"/>
      <c r="D16" s="2" t="s"/>
    </row>
    <row r="17">
      <c r="A17" s="14" t="s">
        <v>164</v>
      </c>
      <c r="B17" s="14" t="s"/>
      <c r="C17" s="14" t="s"/>
      <c r="D17" s="14">
        <v>0</v>
      </c>
    </row>
    <row r="18">
      <c r="A18" s="2" t="s"/>
      <c r="B18" s="2" t="s">
        <v>17</v>
      </c>
      <c r="C18" s="2">
        <v>0</v>
      </c>
      <c r="D18" s="2" t="s"/>
    </row>
    <row r="19">
      <c r="A19" s="2" t="s"/>
      <c r="B19" s="2" t="s">
        <v>18</v>
      </c>
      <c r="C19" s="2">
        <v>0</v>
      </c>
      <c r="D19" s="2" t="s"/>
    </row>
    <row r="20">
      <c r="A20" s="2" t="s"/>
      <c r="B20" s="2" t="s">
        <v>19</v>
      </c>
      <c r="C20" s="2">
        <v>0</v>
      </c>
      <c r="D20" s="2" t="s"/>
    </row>
    <row r="21">
      <c r="A21" s="2" t="s"/>
      <c r="B21" s="2" t="s">
        <v>20</v>
      </c>
      <c r="C21" s="2">
        <v>0</v>
      </c>
      <c r="D21" s="2" t="s"/>
    </row>
    <row r="22">
      <c r="A22" s="2" t="s"/>
      <c r="B22" s="2" t="s">
        <v>21</v>
      </c>
      <c r="C22" s="2">
        <v>0</v>
      </c>
      <c r="D22" s="2" t="s"/>
    </row>
    <row r="23">
      <c r="A23" s="1" t="s"/>
      <c r="B23" s="2" t="s"/>
      <c r="C23" s="2" t="s"/>
      <c r="D23" s="2" t="s"/>
    </row>
    <row r="24">
      <c r="A24" s="13" t="s">
        <v>165</v>
      </c>
      <c r="B24" s="13" t="s"/>
      <c r="C24" s="13" t="s"/>
      <c r="D24" s="13">
        <v>-1253364</v>
      </c>
    </row>
    <row r="25">
      <c r="A25" s="14" t="s">
        <v>166</v>
      </c>
      <c r="B25" s="14" t="s"/>
      <c r="C25" s="14" t="s"/>
      <c r="D25" s="14">
        <v>0</v>
      </c>
    </row>
    <row r="26">
      <c r="A26" s="2" t="s"/>
      <c r="B26" s="2" t="s">
        <v>22</v>
      </c>
      <c r="C26" s="2">
        <v>97600</v>
      </c>
      <c r="D26" s="2" t="s"/>
    </row>
    <row r="27">
      <c r="A27" s="2" t="s"/>
      <c r="B27" s="2" t="s">
        <v>23</v>
      </c>
      <c r="C27" s="2">
        <v>0</v>
      </c>
      <c r="D27" s="2" t="s"/>
    </row>
    <row r="28">
      <c r="A28" s="2" t="s"/>
      <c r="B28" s="2" t="s">
        <v>24</v>
      </c>
      <c r="C28" s="2">
        <v>446400</v>
      </c>
      <c r="D28" s="2" t="s"/>
    </row>
    <row r="29">
      <c r="A29" s="2" t="s"/>
      <c r="B29" s="2" t="s">
        <v>25</v>
      </c>
      <c r="C29" s="2">
        <v>-544000</v>
      </c>
      <c r="D29" s="2" t="s"/>
    </row>
    <row r="30">
      <c r="A30" s="2" t="s"/>
      <c r="B30" s="2" t="s">
        <v>26</v>
      </c>
      <c r="C30" s="2">
        <v>0</v>
      </c>
      <c r="D30" s="2" t="s"/>
    </row>
    <row r="31">
      <c r="A31" s="2" t="s"/>
      <c r="B31" s="2" t="s">
        <v>28</v>
      </c>
      <c r="C31" s="2">
        <v>0</v>
      </c>
      <c r="D31" s="2" t="s"/>
    </row>
    <row r="32">
      <c r="A32" s="2" t="s"/>
      <c r="B32" s="2" t="s">
        <v>27</v>
      </c>
      <c r="C32" s="2">
        <v>0</v>
      </c>
      <c r="D32" s="2" t="s"/>
    </row>
    <row r="33">
      <c r="A33" s="2" t="s"/>
      <c r="B33" s="2" t="s"/>
      <c r="C33" s="2" t="s"/>
      <c r="D33" s="2" t="s"/>
    </row>
    <row r="34">
      <c r="A34" s="14" t="s">
        <v>167</v>
      </c>
      <c r="B34" s="14" t="s"/>
      <c r="C34" s="14" t="s"/>
      <c r="D34" s="14">
        <v>-1253364</v>
      </c>
    </row>
    <row r="35">
      <c r="A35" s="2" t="s"/>
      <c r="B35" s="2" t="s">
        <v>29</v>
      </c>
      <c r="C35" s="2">
        <v>-142407</v>
      </c>
      <c r="D35" s="2" t="s"/>
    </row>
    <row r="36">
      <c r="A36" s="2" t="s"/>
      <c r="B36" s="2" t="s">
        <v>30</v>
      </c>
      <c r="C36" s="2">
        <v>-448166</v>
      </c>
      <c r="D36" s="2" t="s"/>
    </row>
    <row r="37">
      <c r="A37" s="2" t="s"/>
      <c r="B37" s="2" t="s">
        <v>31</v>
      </c>
      <c r="C37" s="2">
        <v>-533502</v>
      </c>
      <c r="D37" s="2" t="s"/>
    </row>
    <row r="38">
      <c r="A38" s="2" t="s"/>
      <c r="B38" s="2" t="s">
        <v>32</v>
      </c>
      <c r="C38" s="2">
        <v>-43750</v>
      </c>
      <c r="D38" s="2" t="s"/>
    </row>
    <row r="39">
      <c r="A39" s="2" t="s"/>
      <c r="B39" s="2" t="s">
        <v>33</v>
      </c>
      <c r="C39" s="2">
        <v>-25238</v>
      </c>
      <c r="D39" s="2" t="s"/>
    </row>
    <row r="40">
      <c r="A40" s="2" t="s"/>
      <c r="B40" s="2" t="s">
        <v>34</v>
      </c>
      <c r="C40" s="2">
        <v>0</v>
      </c>
      <c r="D40" s="2" t="s"/>
    </row>
    <row r="41">
      <c r="A41" s="2" t="s"/>
      <c r="B41" s="2" t="s">
        <v>35</v>
      </c>
      <c r="C41" s="2">
        <v>0</v>
      </c>
      <c r="D41" s="2" t="s"/>
    </row>
    <row r="42">
      <c r="A42" s="2" t="s"/>
      <c r="B42" s="2" t="s">
        <v>36</v>
      </c>
      <c r="C42" s="2">
        <v>0</v>
      </c>
      <c r="D42" s="2" t="s"/>
    </row>
    <row r="43">
      <c r="A43" s="2" t="s"/>
      <c r="B43" s="2" t="s">
        <v>38</v>
      </c>
      <c r="C43" s="2">
        <v>-60301</v>
      </c>
      <c r="D43" s="2" t="s"/>
    </row>
    <row r="44">
      <c r="A44" s="2" t="s"/>
      <c r="B44" s="2" t="s"/>
      <c r="C44" s="2" t="s"/>
      <c r="D44" s="2" t="s"/>
    </row>
    <row r="45">
      <c r="A45" s="2" t="s"/>
      <c r="B45" s="2" t="s"/>
      <c r="C45" s="2" t="s"/>
      <c r="D45" s="2" t="s"/>
    </row>
    <row r="46">
      <c r="A46" s="1" t="s"/>
      <c r="B46" s="2" t="s"/>
      <c r="C46" s="2" t="s"/>
      <c r="D46" s="2" t="s"/>
    </row>
    <row r="47"/>
    <row r="48">
      <c r="A48" s="15" t="s">
        <v>168</v>
      </c>
      <c r="B48" s="15" t="s"/>
      <c r="C48" s="15" t="s"/>
      <c r="D48" s="15">
        <v>4178946</v>
      </c>
    </row>
    <row r="49">
      <c r="A49" s="4" t="s"/>
    </row>
    <row r="50">
      <c r="A50" s="15" t="s">
        <v>169</v>
      </c>
      <c r="B50" s="15" t="s"/>
      <c r="C50" s="15" t="s"/>
      <c r="D50" s="15" t="s"/>
    </row>
    <row r="51">
      <c r="A51" s="16" t="s">
        <v>42</v>
      </c>
      <c r="B51" s="16" t="s"/>
      <c r="C51" s="16" t="s"/>
      <c r="D51" s="16">
        <v>0</v>
      </c>
    </row>
    <row r="52" ht="15.2" customHeight="true">
      <c r="A52" s="17" t="s"/>
    </row>
    <row r="53">
      <c r="A53" s="2" t="s"/>
      <c r="B53" s="17" t="s"/>
      <c r="C53" s="17" t="s"/>
      <c r="D53" s="17" t="s"/>
    </row>
    <row r="54">
      <c r="A54" s="17" t="s"/>
      <c r="B54" s="2" t="s"/>
      <c r="C54" s="2" t="s"/>
      <c r="D54" s="2" t="s"/>
    </row>
    <row r="55">
      <c r="A55" s="2" t="s"/>
      <c r="B55" s="2" t="s"/>
      <c r="C55" s="2" t="s"/>
      <c r="D55" s="2" t="s"/>
    </row>
    <row r="56">
      <c r="A56" s="2" t="s"/>
      <c r="B56" s="2" t="s"/>
      <c r="C56" s="2" t="s"/>
      <c r="D56" s="2" t="s"/>
    </row>
    <row r="57">
      <c r="A57" s="2" t="s"/>
      <c r="B57" s="2" t="s"/>
      <c r="C57" s="2" t="s"/>
      <c r="D57" s="2" t="s"/>
    </row>
    <row r="58">
      <c r="A58" s="2" t="s"/>
      <c r="B58" s="2" t="s"/>
      <c r="C58" s="2" t="s"/>
      <c r="D58" s="2" t="s"/>
    </row>
    <row r="59">
      <c r="A59" s="2" t="s"/>
      <c r="B59" s="2" t="s"/>
      <c r="C59" s="2" t="s"/>
      <c r="D59" s="2" t="s"/>
    </row>
    <row r="60">
      <c r="A60" s="2" t="s"/>
      <c r="B60" s="2" t="s"/>
      <c r="C60" s="2" t="s"/>
      <c r="D60" s="2" t="s"/>
    </row>
    <row r="61">
      <c r="A61" s="2" t="s"/>
      <c r="B61" s="2" t="s"/>
      <c r="C61" s="2" t="s"/>
      <c r="D61" s="2" t="s"/>
    </row>
    <row r="62">
      <c r="A62" s="2" t="s"/>
      <c r="B62" s="2" t="s"/>
      <c r="C62" s="2" t="s"/>
      <c r="D62" s="2" t="s"/>
    </row>
    <row r="63">
      <c r="A63" s="2" t="s"/>
      <c r="B63" s="2" t="s"/>
      <c r="C63" s="2" t="s"/>
      <c r="D63" s="2" t="s"/>
    </row>
    <row r="64">
      <c r="A64" s="2" t="s"/>
      <c r="B64" s="2" t="s"/>
      <c r="C64" s="2" t="s"/>
      <c r="D64" s="2" t="s"/>
    </row>
    <row r="65">
      <c r="A65" s="2" t="s"/>
      <c r="B65" s="17" t="s"/>
      <c r="C65" s="17" t="s"/>
      <c r="D65" s="17" t="s"/>
    </row>
    <row r="66">
      <c r="A66" s="17" t="s"/>
      <c r="B66" s="2" t="s"/>
      <c r="C66" s="2" t="s"/>
      <c r="D66" s="2" t="s"/>
    </row>
    <row r="67">
      <c r="A67" s="2" t="s"/>
      <c r="B67" s="2" t="s"/>
      <c r="C67" s="2" t="s"/>
      <c r="D67" s="2" t="s"/>
    </row>
    <row r="68">
      <c r="A68" s="2" t="s"/>
      <c r="B68" s="2" t="s"/>
      <c r="C68" s="2" t="s"/>
      <c r="D68" s="2" t="s"/>
    </row>
    <row r="69">
      <c r="A69" s="2" t="s"/>
      <c r="B69" s="17" t="s"/>
      <c r="C69" s="17" t="s"/>
      <c r="D69" s="2" t="s"/>
    </row>
    <row r="70">
      <c r="A70" s="17" t="s"/>
      <c r="B70" s="17" t="s"/>
      <c r="C70" s="17" t="s"/>
      <c r="D70" s="17" t="s"/>
    </row>
    <row r="71">
      <c r="A71" s="17" t="s"/>
      <c r="B71" s="2" t="s"/>
      <c r="C71" s="2" t="s"/>
      <c r="D71" s="2" t="s"/>
    </row>
    <row r="72">
      <c r="A72" s="2" t="s"/>
      <c r="B72" s="2" t="s"/>
      <c r="C72" s="2" t="s"/>
      <c r="D72" s="2" t="s"/>
    </row>
    <row r="73">
      <c r="A73" s="2" t="s"/>
      <c r="B73" s="2" t="s"/>
      <c r="C73" s="2" t="s"/>
      <c r="D73" s="2" t="s"/>
    </row>
    <row r="74">
      <c r="A74" s="2" t="s"/>
      <c r="B74" s="2" t="s"/>
      <c r="C74" s="2" t="s"/>
      <c r="D74" s="2" t="s"/>
    </row>
    <row r="75">
      <c r="A75" s="2" t="s"/>
      <c r="B75" s="17" t="s"/>
      <c r="C75" s="17" t="s"/>
      <c r="D75" s="17" t="s"/>
    </row>
    <row r="76">
      <c r="A76" s="17" t="s"/>
      <c r="B76" s="2" t="s"/>
      <c r="C76" s="2" t="s"/>
      <c r="D76" s="2" t="s"/>
    </row>
    <row r="77">
      <c r="A77" s="2" t="s"/>
      <c r="B77" s="2" t="s"/>
      <c r="C77" s="2" t="s"/>
      <c r="D77" s="2" t="s"/>
    </row>
    <row r="78">
      <c r="A78" s="2" t="s"/>
      <c r="B78" s="2" t="s"/>
      <c r="C78" s="2" t="s"/>
      <c r="D78" s="2" t="s"/>
    </row>
    <row r="79">
      <c r="A79" s="2" t="s"/>
      <c r="B79" s="2" t="s"/>
      <c r="C79" s="2" t="s"/>
      <c r="D79" s="2" t="s"/>
    </row>
    <row r="80">
      <c r="A80" s="2" t="s"/>
      <c r="B80" s="17" t="s"/>
      <c r="C80" s="17" t="s"/>
      <c r="D80" s="17" t="s"/>
    </row>
    <row r="81">
      <c r="A81" s="17" t="s"/>
      <c r="B81" s="2" t="s"/>
      <c r="C81" s="2" t="s"/>
      <c r="D81" s="2" t="s"/>
    </row>
    <row r="82">
      <c r="A82" s="2" t="s"/>
      <c r="B82" s="2" t="s"/>
      <c r="C82" s="2" t="s"/>
      <c r="D82" s="2" t="s"/>
    </row>
    <row r="83">
      <c r="A83" s="2" t="s"/>
      <c r="B83" s="2" t="s"/>
      <c r="C83" s="2" t="s"/>
      <c r="D83" s="2" t="s"/>
    </row>
    <row r="84">
      <c r="A84" s="2" t="s"/>
      <c r="B84" s="17" t="s"/>
      <c r="C84" s="17" t="s"/>
      <c r="D84" s="17" t="s"/>
    </row>
    <row r="85">
      <c r="A85" s="17" t="s"/>
      <c r="B85" s="2" t="s"/>
      <c r="C85" s="2" t="s"/>
      <c r="D85" s="2" t="s"/>
    </row>
    <row r="86">
      <c r="A86" s="2" t="s"/>
      <c r="B86" s="17" t="s"/>
      <c r="C86" s="17" t="s"/>
      <c r="D86" s="17" t="s"/>
    </row>
    <row r="87">
      <c r="A87" s="17" t="s"/>
      <c r="B87" s="2" t="s"/>
      <c r="C87" s="2" t="s"/>
      <c r="D87" s="2" t="s"/>
    </row>
    <row r="88">
      <c r="A88" s="2" t="s"/>
      <c r="B88" s="17" t="s"/>
      <c r="C88" s="17" t="s"/>
      <c r="D88" s="17" t="s"/>
    </row>
    <row r="89">
      <c r="A89" s="17" t="s"/>
      <c r="B89" s="2" t="s"/>
      <c r="C89" s="2" t="s"/>
      <c r="D89" s="2" t="s"/>
    </row>
    <row r="90">
      <c r="A90" s="2" t="s"/>
      <c r="B90" s="17" t="s"/>
      <c r="C90" s="17" t="s"/>
      <c r="D90" s="17" t="s"/>
    </row>
    <row r="91">
      <c r="A91" s="17" t="s"/>
      <c r="B91" s="2" t="s"/>
      <c r="C91" s="2" t="s"/>
      <c r="D91" s="2" t="s"/>
    </row>
    <row r="92">
      <c r="A92" s="2" t="s"/>
      <c r="B92" s="2" t="s"/>
      <c r="C92" s="2" t="s"/>
      <c r="D92" s="2" t="s"/>
    </row>
    <row r="93">
      <c r="A93" s="2" t="s"/>
      <c r="B93" s="2" t="s"/>
      <c r="C93" s="2" t="s"/>
      <c r="D93" s="2" t="s"/>
    </row>
    <row r="94">
      <c r="A94" s="2" t="s"/>
    </row>
  </sheetData>
  <mergeCells count="15">
    <mergeCell ref="A1:D4"/>
    <mergeCell ref="A5:D5"/>
    <mergeCell ref="B6:D6"/>
    <mergeCell ref="B7:D7"/>
    <mergeCell ref="B8:D8"/>
    <mergeCell ref="A10:C10"/>
    <mergeCell ref="A11:C11"/>
    <mergeCell ref="A12:C12"/>
    <mergeCell ref="A17:C17"/>
    <mergeCell ref="A24:C24"/>
    <mergeCell ref="A25:C25"/>
    <mergeCell ref="A34:C34"/>
    <mergeCell ref="A48:C48"/>
    <mergeCell ref="A50:D50"/>
    <mergeCell ref="A51:C5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sheetPr>
  <dimension ref="A1:J88"/>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 min="1" style="1"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6383" min="1" style="18" width="10"/>
    <col customWidth="true" max="10" min="2" style="1" width="10"/>
  </cols>
  <sheetData>
    <row r="1">
      <c r="A1" s="1" t="s"/>
      <c r="B1" s="1" t="s"/>
      <c r="C1" s="1" t="s"/>
      <c r="D1" s="1" t="s"/>
      <c r="E1" s="1" t="s"/>
      <c r="F1" s="3" t="s"/>
      <c r="G1" s="19" t="s">
        <v>31</v>
      </c>
      <c r="H1" s="19" t="s"/>
      <c r="I1" s="19" t="s"/>
    </row>
    <row r="2">
      <c r="A2" s="2" t="s">
        <v>7</v>
      </c>
      <c r="B2" s="2" t="s"/>
      <c r="C2" s="2" t="s">
        <v>8</v>
      </c>
      <c r="D2" s="2" t="s">
        <v>170</v>
      </c>
      <c r="E2" s="2" t="s">
        <v>171</v>
      </c>
      <c r="F2" s="3" t="s">
        <v>32</v>
      </c>
      <c r="G2" s="2" t="s">
        <v>172</v>
      </c>
      <c r="H2" s="2" t="s">
        <v>173</v>
      </c>
      <c r="I2" s="2" t="s">
        <v>174</v>
      </c>
    </row>
    <row r="3">
      <c r="A3" s="2">
        <v>1</v>
      </c>
      <c r="B3" s="2" t="s">
        <v>175</v>
      </c>
      <c r="C3" s="2" t="s">
        <v>156</v>
      </c>
      <c r="D3" s="2" t="s">
        <v>176</v>
      </c>
      <c r="E3" s="2" t="s">
        <v>176</v>
      </c>
      <c r="F3" s="3">
        <v>-1250</v>
      </c>
      <c r="G3" s="2">
        <v>-3406</v>
      </c>
      <c r="H3" s="2">
        <v>0</v>
      </c>
      <c r="I3" s="2">
        <v>-3831</v>
      </c>
    </row>
    <row r="4">
      <c r="A4" s="2">
        <v>2</v>
      </c>
      <c r="B4" s="2" t="s">
        <v>177</v>
      </c>
      <c r="C4" s="2" t="s">
        <v>156</v>
      </c>
      <c r="D4" s="2">
        <v>14695370855</v>
      </c>
      <c r="E4" s="2" t="s">
        <v>178</v>
      </c>
      <c r="F4" s="3">
        <v>-1250</v>
      </c>
      <c r="G4" s="2">
        <v>-3406</v>
      </c>
      <c r="H4" s="2">
        <v>0</v>
      </c>
      <c r="I4" s="2">
        <v>-3831</v>
      </c>
    </row>
    <row r="5">
      <c r="A5" s="2">
        <v>3</v>
      </c>
      <c r="B5" s="2" t="s">
        <v>175</v>
      </c>
      <c r="C5" s="2" t="s">
        <v>148</v>
      </c>
      <c r="D5" s="2" t="s">
        <v>176</v>
      </c>
      <c r="E5" s="2" t="s">
        <v>176</v>
      </c>
      <c r="F5" s="3">
        <v>-1250</v>
      </c>
      <c r="G5" s="2">
        <v>-4768</v>
      </c>
      <c r="H5" s="2">
        <v>0</v>
      </c>
      <c r="I5" s="2">
        <v>-5364</v>
      </c>
    </row>
    <row r="6">
      <c r="A6" s="2">
        <v>4</v>
      </c>
      <c r="B6" s="2" t="s">
        <v>177</v>
      </c>
      <c r="C6" s="2" t="s">
        <v>148</v>
      </c>
      <c r="D6" s="2">
        <v>21955573974</v>
      </c>
      <c r="E6" s="2" t="s">
        <v>179</v>
      </c>
      <c r="F6" s="3">
        <v>-1250</v>
      </c>
      <c r="G6" s="2">
        <v>-4768</v>
      </c>
      <c r="H6" s="2">
        <v>0</v>
      </c>
      <c r="I6" s="2">
        <v>-5364</v>
      </c>
    </row>
    <row r="7">
      <c r="A7" s="2">
        <v>5</v>
      </c>
      <c r="B7" s="2" t="s">
        <v>175</v>
      </c>
      <c r="C7" s="2" t="s">
        <v>150</v>
      </c>
      <c r="D7" s="2" t="s">
        <v>176</v>
      </c>
      <c r="E7" s="2" t="s">
        <v>176</v>
      </c>
      <c r="F7" s="3">
        <v>-1250</v>
      </c>
      <c r="G7" s="2">
        <v>-3960</v>
      </c>
      <c r="H7" s="2">
        <v>0</v>
      </c>
      <c r="I7" s="2">
        <v>-4455</v>
      </c>
    </row>
    <row r="8">
      <c r="A8" s="2">
        <v>6</v>
      </c>
      <c r="B8" s="2" t="s">
        <v>177</v>
      </c>
      <c r="C8" s="2" t="s">
        <v>150</v>
      </c>
      <c r="D8" s="2">
        <v>15999534692</v>
      </c>
      <c r="E8" s="2" t="s">
        <v>180</v>
      </c>
      <c r="F8" s="3">
        <v>-1250</v>
      </c>
      <c r="G8" s="2">
        <v>-3960</v>
      </c>
      <c r="H8" s="2">
        <v>0</v>
      </c>
      <c r="I8" s="2">
        <v>-4455</v>
      </c>
    </row>
    <row r="9">
      <c r="A9" s="2">
        <v>7</v>
      </c>
      <c r="B9" s="2" t="s">
        <v>175</v>
      </c>
      <c r="C9" s="2" t="s">
        <v>152</v>
      </c>
      <c r="D9" s="2" t="s">
        <v>176</v>
      </c>
      <c r="E9" s="2" t="s">
        <v>176</v>
      </c>
      <c r="F9" s="3">
        <v>-1250</v>
      </c>
      <c r="G9" s="2">
        <v>-3445</v>
      </c>
      <c r="H9" s="2">
        <v>0</v>
      </c>
      <c r="I9" s="2">
        <v>-3876</v>
      </c>
    </row>
    <row r="10">
      <c r="A10" s="2">
        <v>8</v>
      </c>
      <c r="B10" s="2" t="s">
        <v>177</v>
      </c>
      <c r="C10" s="2" t="s">
        <v>152</v>
      </c>
      <c r="D10" s="2">
        <v>20784563379</v>
      </c>
      <c r="E10" s="2" t="s">
        <v>181</v>
      </c>
      <c r="F10" s="3">
        <v>-1250</v>
      </c>
      <c r="G10" s="2">
        <v>-3445</v>
      </c>
      <c r="H10" s="2">
        <v>0</v>
      </c>
      <c r="I10" s="2">
        <v>-3876</v>
      </c>
    </row>
    <row r="11">
      <c r="A11" s="2">
        <v>9</v>
      </c>
      <c r="B11" s="2" t="s">
        <v>175</v>
      </c>
      <c r="C11" s="2" t="s">
        <v>142</v>
      </c>
      <c r="D11" s="2" t="s">
        <v>176</v>
      </c>
      <c r="E11" s="2" t="s">
        <v>176</v>
      </c>
      <c r="F11" s="3">
        <v>-1250</v>
      </c>
      <c r="G11" s="2">
        <v>0</v>
      </c>
      <c r="H11" s="2">
        <v>-7212</v>
      </c>
      <c r="I11" s="2">
        <v>-5900</v>
      </c>
    </row>
    <row r="12">
      <c r="A12" s="2">
        <v>10</v>
      </c>
      <c r="B12" s="2" t="s">
        <v>177</v>
      </c>
      <c r="C12" s="2" t="s">
        <v>142</v>
      </c>
      <c r="D12" s="2">
        <v>21222852182</v>
      </c>
      <c r="E12" s="2" t="s">
        <v>182</v>
      </c>
      <c r="F12" s="3">
        <v>-1250</v>
      </c>
      <c r="G12" s="2">
        <v>0</v>
      </c>
      <c r="H12" s="2">
        <v>-7212</v>
      </c>
      <c r="I12" s="2">
        <v>-5900</v>
      </c>
    </row>
    <row r="13">
      <c r="A13" s="2">
        <v>11</v>
      </c>
      <c r="B13" s="2" t="s">
        <v>175</v>
      </c>
      <c r="C13" s="2" t="s">
        <v>145</v>
      </c>
      <c r="D13" s="2" t="s">
        <v>176</v>
      </c>
      <c r="E13" s="2" t="s">
        <v>176</v>
      </c>
      <c r="F13" s="3">
        <v>-1250</v>
      </c>
      <c r="G13" s="2">
        <v>-5185</v>
      </c>
      <c r="H13" s="2">
        <v>0</v>
      </c>
      <c r="I13" s="2">
        <v>-5833</v>
      </c>
    </row>
    <row r="14">
      <c r="A14" s="2">
        <v>12</v>
      </c>
      <c r="B14" s="2" t="s">
        <v>177</v>
      </c>
      <c r="C14" s="2" t="s">
        <v>145</v>
      </c>
      <c r="D14" s="2">
        <v>20784563379</v>
      </c>
      <c r="E14" s="2" t="s">
        <v>181</v>
      </c>
      <c r="F14" s="3">
        <v>-1250</v>
      </c>
      <c r="G14" s="2">
        <v>-5185</v>
      </c>
      <c r="H14" s="2">
        <v>0</v>
      </c>
      <c r="I14" s="2">
        <v>-5833</v>
      </c>
    </row>
    <row r="15">
      <c r="A15" s="2">
        <v>13</v>
      </c>
      <c r="B15" s="2" t="s">
        <v>175</v>
      </c>
      <c r="C15" s="2" t="s">
        <v>136</v>
      </c>
      <c r="D15" s="2" t="s">
        <v>176</v>
      </c>
      <c r="E15" s="2" t="s">
        <v>176</v>
      </c>
      <c r="F15" s="3">
        <v>-1250</v>
      </c>
      <c r="G15" s="2">
        <v>0</v>
      </c>
      <c r="H15" s="2">
        <v>-14259</v>
      </c>
      <c r="I15" s="2">
        <v>-11667</v>
      </c>
    </row>
    <row r="16">
      <c r="A16" s="2">
        <v>14</v>
      </c>
      <c r="B16" s="2" t="s">
        <v>177</v>
      </c>
      <c r="C16" s="2" t="s">
        <v>136</v>
      </c>
      <c r="D16" s="2">
        <v>25017311271</v>
      </c>
      <c r="E16" s="2" t="s">
        <v>183</v>
      </c>
      <c r="F16" s="3">
        <v>-625</v>
      </c>
      <c r="G16" s="2">
        <v>0</v>
      </c>
      <c r="H16" s="2">
        <v>-7130</v>
      </c>
      <c r="I16" s="2">
        <v>-5834</v>
      </c>
    </row>
    <row r="17">
      <c r="A17" s="2">
        <v>15</v>
      </c>
      <c r="B17" s="2" t="s">
        <v>177</v>
      </c>
      <c r="C17" s="2" t="s">
        <v>136</v>
      </c>
      <c r="D17" s="2">
        <v>20784563379</v>
      </c>
      <c r="E17" s="2" t="s">
        <v>181</v>
      </c>
      <c r="F17" s="3">
        <v>-625</v>
      </c>
      <c r="G17" s="2">
        <v>0</v>
      </c>
      <c r="H17" s="2">
        <v>-7129</v>
      </c>
      <c r="I17" s="2">
        <v>-5833</v>
      </c>
    </row>
    <row r="18">
      <c r="A18" s="2">
        <v>16</v>
      </c>
      <c r="B18" s="2" t="s">
        <v>175</v>
      </c>
      <c r="C18" s="2" t="s">
        <v>139</v>
      </c>
      <c r="D18" s="2" t="s">
        <v>176</v>
      </c>
      <c r="E18" s="2" t="s">
        <v>176</v>
      </c>
      <c r="F18" s="3">
        <v>-1250</v>
      </c>
      <c r="G18" s="2">
        <v>-5185</v>
      </c>
      <c r="H18" s="2">
        <v>0</v>
      </c>
      <c r="I18" s="2">
        <v>-5833</v>
      </c>
    </row>
    <row r="19">
      <c r="A19" s="2">
        <v>17</v>
      </c>
      <c r="B19" s="2" t="s">
        <v>177</v>
      </c>
      <c r="C19" s="2" t="s">
        <v>139</v>
      </c>
      <c r="D19" s="2">
        <v>19765465163</v>
      </c>
      <c r="E19" s="2" t="s">
        <v>184</v>
      </c>
      <c r="F19" s="3">
        <v>-1250</v>
      </c>
      <c r="G19" s="2">
        <v>-5185</v>
      </c>
      <c r="H19" s="2">
        <v>0</v>
      </c>
      <c r="I19" s="2">
        <v>-5833</v>
      </c>
    </row>
    <row r="20">
      <c r="A20" s="2">
        <v>18</v>
      </c>
      <c r="B20" s="2" t="s">
        <v>175</v>
      </c>
      <c r="C20" s="2" t="s">
        <v>132</v>
      </c>
      <c r="D20" s="2" t="s">
        <v>176</v>
      </c>
      <c r="E20" s="2" t="s">
        <v>176</v>
      </c>
      <c r="F20" s="3">
        <v>-1250</v>
      </c>
      <c r="G20" s="2">
        <v>0</v>
      </c>
      <c r="H20" s="2">
        <v>-11840</v>
      </c>
      <c r="I20" s="2">
        <v>-9687</v>
      </c>
    </row>
    <row r="21">
      <c r="A21" s="2">
        <v>19</v>
      </c>
      <c r="B21" s="2" t="s">
        <v>177</v>
      </c>
      <c r="C21" s="2" t="s">
        <v>132</v>
      </c>
      <c r="D21" s="2">
        <v>21222852182</v>
      </c>
      <c r="E21" s="2" t="s">
        <v>182</v>
      </c>
      <c r="F21" s="3">
        <v>-761</v>
      </c>
      <c r="G21" s="2">
        <v>0</v>
      </c>
      <c r="H21" s="2">
        <v>-7212</v>
      </c>
      <c r="I21" s="2">
        <v>-5900</v>
      </c>
    </row>
    <row r="22">
      <c r="A22" s="2">
        <v>20</v>
      </c>
      <c r="B22" s="2" t="s">
        <v>177</v>
      </c>
      <c r="C22" s="2" t="s">
        <v>132</v>
      </c>
      <c r="D22" s="2">
        <v>16598366925</v>
      </c>
      <c r="E22" s="2" t="s">
        <v>185</v>
      </c>
      <c r="F22" s="3">
        <v>-489</v>
      </c>
      <c r="G22" s="2">
        <v>0</v>
      </c>
      <c r="H22" s="2">
        <v>-4628</v>
      </c>
      <c r="I22" s="2">
        <v>-3787</v>
      </c>
    </row>
    <row r="23">
      <c r="A23" s="2">
        <v>21</v>
      </c>
      <c r="B23" s="2" t="s">
        <v>175</v>
      </c>
      <c r="C23" s="2" t="s">
        <v>130</v>
      </c>
      <c r="D23" s="2" t="s">
        <v>176</v>
      </c>
      <c r="E23" s="2" t="s">
        <v>176</v>
      </c>
      <c r="F23" s="3">
        <v>-1250</v>
      </c>
      <c r="G23" s="2">
        <v>0</v>
      </c>
      <c r="H23" s="2">
        <v>-6556</v>
      </c>
      <c r="I23" s="2">
        <v>-5364</v>
      </c>
    </row>
    <row r="24">
      <c r="A24" s="2">
        <v>22</v>
      </c>
      <c r="B24" s="2" t="s">
        <v>177</v>
      </c>
      <c r="C24" s="2" t="s">
        <v>130</v>
      </c>
      <c r="D24" s="2">
        <v>23582172892</v>
      </c>
      <c r="E24" s="2" t="s">
        <v>186</v>
      </c>
      <c r="F24" s="3">
        <v>-1250</v>
      </c>
      <c r="G24" s="2">
        <v>0</v>
      </c>
      <c r="H24" s="2">
        <v>-6556</v>
      </c>
      <c r="I24" s="2">
        <v>-5364</v>
      </c>
    </row>
    <row r="25">
      <c r="A25" s="2">
        <v>23</v>
      </c>
      <c r="B25" s="2" t="s">
        <v>175</v>
      </c>
      <c r="C25" s="2" t="s">
        <v>118</v>
      </c>
      <c r="D25" s="2" t="s">
        <v>176</v>
      </c>
      <c r="E25" s="2" t="s">
        <v>176</v>
      </c>
      <c r="F25" s="3">
        <v>-1250</v>
      </c>
      <c r="G25" s="2">
        <v>0</v>
      </c>
      <c r="H25" s="2">
        <v>-7212</v>
      </c>
      <c r="I25" s="2">
        <v>-5900</v>
      </c>
    </row>
    <row r="26">
      <c r="A26" s="2">
        <v>24</v>
      </c>
      <c r="B26" s="2" t="s">
        <v>177</v>
      </c>
      <c r="C26" s="2" t="s">
        <v>118</v>
      </c>
      <c r="D26" s="2">
        <v>19822254276</v>
      </c>
      <c r="E26" s="2" t="s">
        <v>187</v>
      </c>
      <c r="F26" s="3">
        <v>-1250</v>
      </c>
      <c r="G26" s="2">
        <v>0</v>
      </c>
      <c r="H26" s="2">
        <v>-7212</v>
      </c>
      <c r="I26" s="2">
        <v>-5900</v>
      </c>
    </row>
    <row r="27">
      <c r="A27" s="2">
        <v>25</v>
      </c>
      <c r="B27" s="2" t="s">
        <v>175</v>
      </c>
      <c r="C27" s="2" t="s">
        <v>121</v>
      </c>
      <c r="D27" s="2" t="s">
        <v>176</v>
      </c>
      <c r="E27" s="2" t="s">
        <v>176</v>
      </c>
      <c r="F27" s="3">
        <v>-1250</v>
      </c>
      <c r="G27" s="2">
        <v>0</v>
      </c>
      <c r="H27" s="2">
        <v>-8195</v>
      </c>
      <c r="I27" s="2">
        <v>-6705</v>
      </c>
    </row>
    <row r="28">
      <c r="A28" s="2">
        <v>26</v>
      </c>
      <c r="B28" s="2" t="s">
        <v>177</v>
      </c>
      <c r="C28" s="2" t="s">
        <v>121</v>
      </c>
      <c r="D28" s="2">
        <v>21128234549</v>
      </c>
      <c r="E28" s="2" t="s">
        <v>188</v>
      </c>
      <c r="F28" s="3">
        <v>-1250</v>
      </c>
      <c r="G28" s="2">
        <v>0</v>
      </c>
      <c r="H28" s="2">
        <v>-8195</v>
      </c>
      <c r="I28" s="2">
        <v>-6705</v>
      </c>
    </row>
    <row r="29">
      <c r="A29" s="2">
        <v>27</v>
      </c>
      <c r="B29" s="2" t="s">
        <v>175</v>
      </c>
      <c r="C29" s="2" t="s">
        <v>123</v>
      </c>
      <c r="D29" s="2" t="s">
        <v>176</v>
      </c>
      <c r="E29" s="2" t="s">
        <v>176</v>
      </c>
      <c r="F29" s="3">
        <v>-1250</v>
      </c>
      <c r="G29" s="2">
        <v>0</v>
      </c>
      <c r="H29" s="2">
        <v>-9257</v>
      </c>
      <c r="I29" s="2">
        <v>-7574</v>
      </c>
    </row>
    <row r="30">
      <c r="A30" s="2">
        <v>28</v>
      </c>
      <c r="B30" s="2" t="s">
        <v>177</v>
      </c>
      <c r="C30" s="2" t="s">
        <v>123</v>
      </c>
      <c r="D30" s="2">
        <v>23355956210</v>
      </c>
      <c r="E30" s="2" t="s">
        <v>189</v>
      </c>
      <c r="F30" s="3">
        <v>-625</v>
      </c>
      <c r="G30" s="2">
        <v>0</v>
      </c>
      <c r="H30" s="2">
        <v>-4629</v>
      </c>
      <c r="I30" s="2">
        <v>-3787</v>
      </c>
    </row>
    <row r="31">
      <c r="A31" s="2">
        <v>29</v>
      </c>
      <c r="B31" s="2" t="s">
        <v>177</v>
      </c>
      <c r="C31" s="2" t="s">
        <v>123</v>
      </c>
      <c r="D31" s="2">
        <v>20722589392</v>
      </c>
      <c r="E31" s="2" t="s">
        <v>190</v>
      </c>
      <c r="F31" s="3">
        <v>-625</v>
      </c>
      <c r="G31" s="2">
        <v>0</v>
      </c>
      <c r="H31" s="2">
        <v>-4628</v>
      </c>
      <c r="I31" s="2">
        <v>-3787</v>
      </c>
    </row>
    <row r="32">
      <c r="A32" s="2">
        <v>30</v>
      </c>
      <c r="B32" s="2" t="s">
        <v>175</v>
      </c>
      <c r="C32" s="2" t="s">
        <v>125</v>
      </c>
      <c r="D32" s="2" t="s">
        <v>176</v>
      </c>
      <c r="E32" s="2" t="s">
        <v>176</v>
      </c>
      <c r="F32" s="3">
        <v>-1250</v>
      </c>
      <c r="G32" s="2">
        <v>0</v>
      </c>
      <c r="H32" s="2">
        <v>-7212</v>
      </c>
      <c r="I32" s="2">
        <v>-5900</v>
      </c>
    </row>
    <row r="33">
      <c r="A33" s="2">
        <v>31</v>
      </c>
      <c r="B33" s="2" t="s">
        <v>177</v>
      </c>
      <c r="C33" s="2" t="s">
        <v>125</v>
      </c>
      <c r="D33" s="2">
        <v>18055573417</v>
      </c>
      <c r="E33" s="2" t="s">
        <v>191</v>
      </c>
      <c r="F33" s="3">
        <v>-1250</v>
      </c>
      <c r="G33" s="2">
        <v>0</v>
      </c>
      <c r="H33" s="2">
        <v>-7212</v>
      </c>
      <c r="I33" s="2">
        <v>-5900</v>
      </c>
    </row>
    <row r="34">
      <c r="A34" s="2">
        <v>32</v>
      </c>
      <c r="B34" s="2" t="s">
        <v>175</v>
      </c>
      <c r="C34" s="2" t="s">
        <v>127</v>
      </c>
      <c r="D34" s="2" t="s">
        <v>176</v>
      </c>
      <c r="E34" s="2" t="s">
        <v>176</v>
      </c>
      <c r="F34" s="3">
        <v>-1250</v>
      </c>
      <c r="G34" s="2">
        <v>0</v>
      </c>
      <c r="H34" s="2">
        <v>-7048</v>
      </c>
      <c r="I34" s="2">
        <v>-5766</v>
      </c>
    </row>
    <row r="35">
      <c r="A35" s="2">
        <v>33</v>
      </c>
      <c r="B35" s="2" t="s">
        <v>177</v>
      </c>
      <c r="C35" s="2" t="s">
        <v>127</v>
      </c>
      <c r="D35" s="2">
        <v>24167723130</v>
      </c>
      <c r="E35" s="2" t="s">
        <v>192</v>
      </c>
      <c r="F35" s="3">
        <v>-1250</v>
      </c>
      <c r="G35" s="2">
        <v>0</v>
      </c>
      <c r="H35" s="2">
        <v>-7048</v>
      </c>
      <c r="I35" s="2">
        <v>-5766</v>
      </c>
    </row>
    <row r="36">
      <c r="A36" s="2">
        <v>34</v>
      </c>
      <c r="B36" s="2" t="s">
        <v>175</v>
      </c>
      <c r="C36" s="2" t="s">
        <v>115</v>
      </c>
      <c r="D36" s="2" t="s">
        <v>176</v>
      </c>
      <c r="E36" s="2" t="s">
        <v>176</v>
      </c>
      <c r="F36" s="3">
        <v>-1250</v>
      </c>
      <c r="G36" s="2">
        <v>0</v>
      </c>
      <c r="H36" s="2">
        <v>-9420</v>
      </c>
      <c r="I36" s="2">
        <v>-7707</v>
      </c>
    </row>
    <row r="37">
      <c r="A37" s="2">
        <v>35</v>
      </c>
      <c r="B37" s="2" t="s">
        <v>177</v>
      </c>
      <c r="C37" s="2" t="s">
        <v>115</v>
      </c>
      <c r="D37" s="2">
        <v>19822254276</v>
      </c>
      <c r="E37" s="2" t="s">
        <v>187</v>
      </c>
      <c r="F37" s="3">
        <v>-636</v>
      </c>
      <c r="G37" s="2">
        <v>0</v>
      </c>
      <c r="H37" s="2">
        <v>-4792</v>
      </c>
      <c r="I37" s="2">
        <v>-3920</v>
      </c>
    </row>
    <row r="38">
      <c r="A38" s="2">
        <v>36</v>
      </c>
      <c r="B38" s="2" t="s">
        <v>177</v>
      </c>
      <c r="C38" s="2" t="s">
        <v>115</v>
      </c>
      <c r="D38" s="2">
        <v>20322611942</v>
      </c>
      <c r="E38" s="2" t="s">
        <v>193</v>
      </c>
      <c r="F38" s="3">
        <v>-614</v>
      </c>
      <c r="G38" s="2">
        <v>0</v>
      </c>
      <c r="H38" s="2">
        <v>-4628</v>
      </c>
      <c r="I38" s="2">
        <v>-3787</v>
      </c>
    </row>
    <row r="39">
      <c r="A39" s="2">
        <v>37</v>
      </c>
      <c r="B39" s="2" t="s">
        <v>175</v>
      </c>
      <c r="C39" s="2" t="s">
        <v>112</v>
      </c>
      <c r="D39" s="2" t="s">
        <v>176</v>
      </c>
      <c r="E39" s="2" t="s">
        <v>176</v>
      </c>
      <c r="F39" s="3">
        <v>-1250</v>
      </c>
      <c r="G39" s="2">
        <v>0</v>
      </c>
      <c r="H39" s="2">
        <v>-7212</v>
      </c>
      <c r="I39" s="2">
        <v>-5900</v>
      </c>
    </row>
    <row r="40">
      <c r="A40" s="2">
        <v>38</v>
      </c>
      <c r="B40" s="2" t="s">
        <v>177</v>
      </c>
      <c r="C40" s="2" t="s">
        <v>112</v>
      </c>
      <c r="D40" s="2">
        <v>21222852182</v>
      </c>
      <c r="E40" s="2" t="s">
        <v>182</v>
      </c>
      <c r="F40" s="3">
        <v>-1250</v>
      </c>
      <c r="G40" s="2">
        <v>0</v>
      </c>
      <c r="H40" s="2">
        <v>-7212</v>
      </c>
      <c r="I40" s="2">
        <v>-5900</v>
      </c>
    </row>
    <row r="41">
      <c r="A41" s="2">
        <v>39</v>
      </c>
      <c r="B41" s="2" t="s">
        <v>175</v>
      </c>
      <c r="C41" s="2" t="s">
        <v>108</v>
      </c>
      <c r="D41" s="2" t="s">
        <v>176</v>
      </c>
      <c r="E41" s="2" t="s">
        <v>176</v>
      </c>
      <c r="F41" s="3">
        <v>-1250</v>
      </c>
      <c r="G41" s="2">
        <v>0</v>
      </c>
      <c r="H41" s="2">
        <v>-6966</v>
      </c>
      <c r="I41" s="2">
        <v>-5699</v>
      </c>
    </row>
    <row r="42">
      <c r="A42" s="2">
        <v>40</v>
      </c>
      <c r="B42" s="2" t="s">
        <v>177</v>
      </c>
      <c r="C42" s="2" t="s">
        <v>108</v>
      </c>
      <c r="D42" s="2">
        <v>14199567534</v>
      </c>
      <c r="E42" s="2" t="s">
        <v>194</v>
      </c>
      <c r="F42" s="3">
        <v>-1250</v>
      </c>
      <c r="G42" s="2">
        <v>0</v>
      </c>
      <c r="H42" s="2">
        <v>-6966</v>
      </c>
      <c r="I42" s="2">
        <v>-5699</v>
      </c>
    </row>
    <row r="43">
      <c r="A43" s="2">
        <v>41</v>
      </c>
      <c r="B43" s="2" t="s">
        <v>175</v>
      </c>
      <c r="C43" s="2" t="s">
        <v>106</v>
      </c>
      <c r="D43" s="2" t="s">
        <v>176</v>
      </c>
      <c r="E43" s="2" t="s">
        <v>176</v>
      </c>
      <c r="F43" s="3">
        <v>-1250</v>
      </c>
      <c r="G43" s="2">
        <v>0</v>
      </c>
      <c r="H43" s="2">
        <v>-4683</v>
      </c>
      <c r="I43" s="2">
        <v>-3831</v>
      </c>
    </row>
    <row r="44">
      <c r="A44" s="2">
        <v>42</v>
      </c>
      <c r="B44" s="2" t="s">
        <v>177</v>
      </c>
      <c r="C44" s="2" t="s">
        <v>106</v>
      </c>
      <c r="D44" s="2">
        <v>23450499369</v>
      </c>
      <c r="E44" s="2" t="s">
        <v>195</v>
      </c>
      <c r="F44" s="3">
        <v>-1250</v>
      </c>
      <c r="G44" s="2">
        <v>0</v>
      </c>
      <c r="H44" s="2">
        <v>-4683</v>
      </c>
      <c r="I44" s="2">
        <v>-3831</v>
      </c>
    </row>
    <row r="45">
      <c r="A45" s="2">
        <v>43</v>
      </c>
      <c r="B45" s="2" t="s">
        <v>175</v>
      </c>
      <c r="C45" s="2" t="s">
        <v>103</v>
      </c>
      <c r="D45" s="2" t="s">
        <v>176</v>
      </c>
      <c r="E45" s="2" t="s">
        <v>176</v>
      </c>
      <c r="F45" s="3">
        <v>-1250</v>
      </c>
      <c r="G45" s="2">
        <v>0</v>
      </c>
      <c r="H45" s="2">
        <v>-7048</v>
      </c>
      <c r="I45" s="2">
        <v>-5766</v>
      </c>
    </row>
    <row r="46">
      <c r="A46" s="2">
        <v>44</v>
      </c>
      <c r="B46" s="2" t="s">
        <v>177</v>
      </c>
      <c r="C46" s="2" t="s">
        <v>103</v>
      </c>
      <c r="D46" s="2">
        <v>19955578559</v>
      </c>
      <c r="E46" s="2" t="s">
        <v>196</v>
      </c>
      <c r="F46" s="3">
        <v>-1250</v>
      </c>
      <c r="G46" s="2">
        <v>0</v>
      </c>
      <c r="H46" s="2">
        <v>-7048</v>
      </c>
      <c r="I46" s="2">
        <v>-5766</v>
      </c>
    </row>
    <row r="47">
      <c r="A47" s="2">
        <v>45</v>
      </c>
      <c r="B47" s="2" t="s">
        <v>175</v>
      </c>
      <c r="C47" s="2" t="s">
        <v>97</v>
      </c>
      <c r="D47" s="2" t="s">
        <v>176</v>
      </c>
      <c r="E47" s="2" t="s">
        <v>176</v>
      </c>
      <c r="F47" s="3">
        <v>-1250</v>
      </c>
      <c r="G47" s="2">
        <v>0</v>
      </c>
      <c r="H47" s="2">
        <v>-4737</v>
      </c>
      <c r="I47" s="2">
        <v>-3876</v>
      </c>
    </row>
    <row r="48">
      <c r="A48" s="2">
        <v>46</v>
      </c>
      <c r="B48" s="2" t="s">
        <v>177</v>
      </c>
      <c r="C48" s="2" t="s">
        <v>97</v>
      </c>
      <c r="D48" s="2">
        <v>19765465163</v>
      </c>
      <c r="E48" s="2" t="s">
        <v>184</v>
      </c>
      <c r="F48" s="3">
        <v>-1250</v>
      </c>
      <c r="G48" s="2">
        <v>0</v>
      </c>
      <c r="H48" s="2">
        <v>-4737</v>
      </c>
      <c r="I48" s="2">
        <v>-3876</v>
      </c>
    </row>
    <row r="49">
      <c r="A49" s="2">
        <v>47</v>
      </c>
      <c r="B49" s="2" t="s">
        <v>175</v>
      </c>
      <c r="C49" s="2" t="s">
        <v>100</v>
      </c>
      <c r="D49" s="2" t="s">
        <v>176</v>
      </c>
      <c r="E49" s="2" t="s">
        <v>176</v>
      </c>
      <c r="F49" s="3">
        <v>-1250</v>
      </c>
      <c r="G49" s="2">
        <v>0</v>
      </c>
      <c r="H49" s="2">
        <v>-11758</v>
      </c>
      <c r="I49" s="2">
        <v>-9620</v>
      </c>
    </row>
    <row r="50">
      <c r="A50" s="2">
        <v>48</v>
      </c>
      <c r="B50" s="2" t="s">
        <v>177</v>
      </c>
      <c r="C50" s="2" t="s">
        <v>100</v>
      </c>
      <c r="D50" s="2">
        <v>19765465163</v>
      </c>
      <c r="E50" s="2" t="s">
        <v>184</v>
      </c>
      <c r="F50" s="3">
        <v>-758</v>
      </c>
      <c r="G50" s="2">
        <v>0</v>
      </c>
      <c r="H50" s="2">
        <v>-7130</v>
      </c>
      <c r="I50" s="2">
        <v>-5833</v>
      </c>
    </row>
    <row r="51">
      <c r="A51" s="2">
        <v>49</v>
      </c>
      <c r="B51" s="2" t="s">
        <v>177</v>
      </c>
      <c r="C51" s="2" t="s">
        <v>100</v>
      </c>
      <c r="D51" s="2">
        <v>16198984163</v>
      </c>
      <c r="E51" s="2" t="s">
        <v>197</v>
      </c>
      <c r="F51" s="3">
        <v>-492</v>
      </c>
      <c r="G51" s="2">
        <v>0</v>
      </c>
      <c r="H51" s="2">
        <v>-4628</v>
      </c>
      <c r="I51" s="2">
        <v>-3787</v>
      </c>
    </row>
    <row r="52">
      <c r="A52" s="2">
        <v>50</v>
      </c>
      <c r="B52" s="2" t="s">
        <v>175</v>
      </c>
      <c r="C52" s="2" t="s">
        <v>91</v>
      </c>
      <c r="D52" s="2" t="s">
        <v>176</v>
      </c>
      <c r="E52" s="2" t="s">
        <v>176</v>
      </c>
      <c r="F52" s="3">
        <v>-1250</v>
      </c>
      <c r="G52" s="2">
        <v>0</v>
      </c>
      <c r="H52" s="2">
        <v>-7212</v>
      </c>
      <c r="I52" s="2">
        <v>-5900</v>
      </c>
    </row>
    <row r="53">
      <c r="A53" s="2">
        <v>51</v>
      </c>
      <c r="B53" s="2" t="s">
        <v>177</v>
      </c>
      <c r="C53" s="2" t="s">
        <v>91</v>
      </c>
      <c r="D53" s="2">
        <v>21222852182</v>
      </c>
      <c r="E53" s="2" t="s">
        <v>182</v>
      </c>
      <c r="F53" s="3">
        <v>-1250</v>
      </c>
      <c r="G53" s="2">
        <v>0</v>
      </c>
      <c r="H53" s="2">
        <v>-7212</v>
      </c>
      <c r="I53" s="2">
        <v>-5900</v>
      </c>
    </row>
    <row r="54">
      <c r="A54" s="2">
        <v>52</v>
      </c>
      <c r="B54" s="2" t="s">
        <v>175</v>
      </c>
      <c r="C54" s="2" t="s">
        <v>94</v>
      </c>
      <c r="D54" s="2" t="s">
        <v>176</v>
      </c>
      <c r="E54" s="2" t="s">
        <v>176</v>
      </c>
      <c r="F54" s="3">
        <v>-1250</v>
      </c>
      <c r="G54" s="2">
        <v>0</v>
      </c>
      <c r="H54" s="2">
        <v>-7212</v>
      </c>
      <c r="I54" s="2">
        <v>-5900</v>
      </c>
    </row>
    <row r="55">
      <c r="A55" s="2">
        <v>53</v>
      </c>
      <c r="B55" s="2" t="s">
        <v>177</v>
      </c>
      <c r="C55" s="2" t="s">
        <v>94</v>
      </c>
      <c r="D55" s="2">
        <v>19822254276</v>
      </c>
      <c r="E55" s="2" t="s">
        <v>187</v>
      </c>
      <c r="F55" s="3">
        <v>-1250</v>
      </c>
      <c r="G55" s="2">
        <v>0</v>
      </c>
      <c r="H55" s="2">
        <v>-7212</v>
      </c>
      <c r="I55" s="2">
        <v>-5900</v>
      </c>
    </row>
    <row r="56">
      <c r="A56" s="2">
        <v>54</v>
      </c>
      <c r="B56" s="2" t="s">
        <v>175</v>
      </c>
      <c r="C56" s="2" t="s">
        <v>81</v>
      </c>
      <c r="D56" s="2" t="s">
        <v>176</v>
      </c>
      <c r="E56" s="2" t="s">
        <v>176</v>
      </c>
      <c r="F56" s="3">
        <v>-1250</v>
      </c>
      <c r="G56" s="2">
        <v>0</v>
      </c>
      <c r="H56" s="2">
        <v>-7212</v>
      </c>
      <c r="I56" s="2">
        <v>-5900</v>
      </c>
    </row>
    <row r="57">
      <c r="A57" s="2">
        <v>55</v>
      </c>
      <c r="B57" s="2" t="s">
        <v>177</v>
      </c>
      <c r="C57" s="2" t="s">
        <v>81</v>
      </c>
      <c r="D57" s="2">
        <v>21222852182</v>
      </c>
      <c r="E57" s="2" t="s">
        <v>182</v>
      </c>
      <c r="F57" s="3">
        <v>-1250</v>
      </c>
      <c r="G57" s="2">
        <v>0</v>
      </c>
      <c r="H57" s="2">
        <v>-7212</v>
      </c>
      <c r="I57" s="2">
        <v>-5900</v>
      </c>
    </row>
    <row r="58">
      <c r="A58" s="2">
        <v>56</v>
      </c>
      <c r="B58" s="2" t="s">
        <v>175</v>
      </c>
      <c r="C58" s="2" t="s">
        <v>84</v>
      </c>
      <c r="D58" s="2" t="s">
        <v>176</v>
      </c>
      <c r="E58" s="2" t="s">
        <v>176</v>
      </c>
      <c r="F58" s="3">
        <v>-1250</v>
      </c>
      <c r="G58" s="2">
        <v>0</v>
      </c>
      <c r="H58" s="2">
        <v>-6966</v>
      </c>
      <c r="I58" s="2">
        <v>-5699</v>
      </c>
    </row>
    <row r="59">
      <c r="A59" s="2">
        <v>57</v>
      </c>
      <c r="B59" s="2" t="s">
        <v>177</v>
      </c>
      <c r="C59" s="2" t="s">
        <v>84</v>
      </c>
      <c r="D59" s="2">
        <v>14199567534</v>
      </c>
      <c r="E59" s="2" t="s">
        <v>194</v>
      </c>
      <c r="F59" s="3">
        <v>-1250</v>
      </c>
      <c r="G59" s="2">
        <v>0</v>
      </c>
      <c r="H59" s="2">
        <v>-6966</v>
      </c>
      <c r="I59" s="2">
        <v>-5699</v>
      </c>
    </row>
    <row r="60">
      <c r="A60" s="2">
        <v>58</v>
      </c>
      <c r="B60" s="2" t="s">
        <v>175</v>
      </c>
      <c r="C60" s="2" t="s">
        <v>86</v>
      </c>
      <c r="D60" s="2" t="s">
        <v>176</v>
      </c>
      <c r="E60" s="2" t="s">
        <v>176</v>
      </c>
      <c r="F60" s="3">
        <v>-1250</v>
      </c>
      <c r="G60" s="2">
        <v>0</v>
      </c>
      <c r="H60" s="2">
        <v>-9257</v>
      </c>
      <c r="I60" s="2">
        <v>-7574</v>
      </c>
    </row>
    <row r="61">
      <c r="A61" s="2">
        <v>59</v>
      </c>
      <c r="B61" s="2" t="s">
        <v>177</v>
      </c>
      <c r="C61" s="2" t="s">
        <v>86</v>
      </c>
      <c r="D61" s="2">
        <v>27073447051</v>
      </c>
      <c r="E61" s="2" t="s">
        <v>198</v>
      </c>
      <c r="F61" s="3">
        <v>-1250</v>
      </c>
      <c r="G61" s="2">
        <v>0</v>
      </c>
      <c r="H61" s="2">
        <v>-9257</v>
      </c>
      <c r="I61" s="2">
        <v>-7574</v>
      </c>
    </row>
    <row r="62">
      <c r="A62" s="2">
        <v>60</v>
      </c>
      <c r="B62" s="2" t="s">
        <v>175</v>
      </c>
      <c r="C62" s="2" t="s">
        <v>89</v>
      </c>
      <c r="D62" s="2" t="s">
        <v>176</v>
      </c>
      <c r="E62" s="2" t="s">
        <v>176</v>
      </c>
      <c r="F62" s="3">
        <v>-1250</v>
      </c>
      <c r="G62" s="2">
        <v>0</v>
      </c>
      <c r="H62" s="2">
        <v>-7212</v>
      </c>
      <c r="I62" s="2">
        <v>-5900</v>
      </c>
    </row>
    <row r="63">
      <c r="A63" s="2">
        <v>61</v>
      </c>
      <c r="B63" s="2" t="s">
        <v>177</v>
      </c>
      <c r="C63" s="2" t="s">
        <v>89</v>
      </c>
      <c r="D63" s="2">
        <v>21222852182</v>
      </c>
      <c r="E63" s="2" t="s">
        <v>182</v>
      </c>
      <c r="F63" s="3">
        <v>-1250</v>
      </c>
      <c r="G63" s="2">
        <v>0</v>
      </c>
      <c r="H63" s="2">
        <v>-7212</v>
      </c>
      <c r="I63" s="2">
        <v>-5900</v>
      </c>
    </row>
    <row r="64">
      <c r="A64" s="2">
        <v>62</v>
      </c>
      <c r="B64" s="2" t="s">
        <v>175</v>
      </c>
      <c r="C64" s="2" t="s">
        <v>75</v>
      </c>
      <c r="D64" s="2" t="s">
        <v>176</v>
      </c>
      <c r="E64" s="2" t="s">
        <v>176</v>
      </c>
      <c r="F64" s="3">
        <v>-1250</v>
      </c>
      <c r="G64" s="2">
        <v>0</v>
      </c>
      <c r="H64" s="2">
        <v>-4737</v>
      </c>
      <c r="I64" s="2">
        <v>-3876</v>
      </c>
    </row>
    <row r="65">
      <c r="A65" s="2">
        <v>63</v>
      </c>
      <c r="B65" s="2" t="s">
        <v>177</v>
      </c>
      <c r="C65" s="2" t="s">
        <v>75</v>
      </c>
      <c r="D65" s="2">
        <v>23100850493</v>
      </c>
      <c r="E65" s="2" t="s">
        <v>199</v>
      </c>
      <c r="F65" s="3">
        <v>-1250</v>
      </c>
      <c r="G65" s="2">
        <v>0</v>
      </c>
      <c r="H65" s="2">
        <v>-4737</v>
      </c>
      <c r="I65" s="2">
        <v>-3876</v>
      </c>
    </row>
    <row r="66">
      <c r="A66" s="2">
        <v>64</v>
      </c>
      <c r="B66" s="2" t="s">
        <v>175</v>
      </c>
      <c r="C66" s="2" t="s">
        <v>79</v>
      </c>
      <c r="D66" s="2" t="s">
        <v>176</v>
      </c>
      <c r="E66" s="2" t="s">
        <v>176</v>
      </c>
      <c r="F66" s="3">
        <v>-1250</v>
      </c>
      <c r="G66" s="2">
        <v>0</v>
      </c>
      <c r="H66" s="2">
        <v>-21635</v>
      </c>
      <c r="I66" s="2">
        <v>-17701</v>
      </c>
    </row>
    <row r="67">
      <c r="A67" s="2">
        <v>65</v>
      </c>
      <c r="B67" s="2" t="s">
        <v>177</v>
      </c>
      <c r="C67" s="2" t="s">
        <v>79</v>
      </c>
      <c r="D67" s="2">
        <v>21222852182</v>
      </c>
      <c r="E67" s="2" t="s">
        <v>182</v>
      </c>
      <c r="F67" s="3">
        <v>-1250</v>
      </c>
      <c r="G67" s="2">
        <v>0</v>
      </c>
      <c r="H67" s="2">
        <v>-21635</v>
      </c>
      <c r="I67" s="2">
        <v>-17701</v>
      </c>
    </row>
    <row r="68">
      <c r="A68" s="2">
        <v>66</v>
      </c>
      <c r="B68" s="2" t="s">
        <v>175</v>
      </c>
      <c r="C68" s="2" t="s">
        <v>70</v>
      </c>
      <c r="D68" s="2" t="s">
        <v>176</v>
      </c>
      <c r="E68" s="2" t="s">
        <v>176</v>
      </c>
      <c r="F68" s="3">
        <v>-1250</v>
      </c>
      <c r="G68" s="2">
        <v>0</v>
      </c>
      <c r="H68" s="2">
        <v>-4792</v>
      </c>
      <c r="I68" s="2">
        <v>-3920</v>
      </c>
    </row>
    <row r="69">
      <c r="A69" s="2">
        <v>67</v>
      </c>
      <c r="B69" s="2" t="s">
        <v>177</v>
      </c>
      <c r="C69" s="2" t="s">
        <v>70</v>
      </c>
      <c r="D69" s="2">
        <v>21222852182</v>
      </c>
      <c r="E69" s="2" t="s">
        <v>182</v>
      </c>
      <c r="F69" s="3">
        <v>-1250</v>
      </c>
      <c r="G69" s="2">
        <v>0</v>
      </c>
      <c r="H69" s="2">
        <v>-4792</v>
      </c>
      <c r="I69" s="2">
        <v>-3920</v>
      </c>
    </row>
    <row r="70">
      <c r="A70" s="2">
        <v>68</v>
      </c>
      <c r="B70" s="2" t="s">
        <v>175</v>
      </c>
      <c r="C70" s="2" t="s">
        <v>66</v>
      </c>
      <c r="D70" s="2" t="s">
        <v>176</v>
      </c>
      <c r="E70" s="2" t="s">
        <v>176</v>
      </c>
      <c r="F70" s="3">
        <v>-1250</v>
      </c>
      <c r="G70" s="2">
        <v>0</v>
      </c>
      <c r="H70" s="2">
        <v>-7048</v>
      </c>
      <c r="I70" s="2">
        <v>-5766</v>
      </c>
    </row>
    <row r="71">
      <c r="A71" s="2">
        <v>69</v>
      </c>
      <c r="B71" s="2" t="s">
        <v>177</v>
      </c>
      <c r="C71" s="2" t="s">
        <v>66</v>
      </c>
      <c r="D71" s="2">
        <v>18755577577</v>
      </c>
      <c r="E71" s="2" t="s">
        <v>200</v>
      </c>
      <c r="F71" s="3">
        <v>-1250</v>
      </c>
      <c r="G71" s="2">
        <v>0</v>
      </c>
      <c r="H71" s="2">
        <v>-7048</v>
      </c>
      <c r="I71" s="2">
        <v>-5766</v>
      </c>
    </row>
    <row r="72">
      <c r="A72" s="2">
        <v>70</v>
      </c>
      <c r="B72" s="2" t="s">
        <v>175</v>
      </c>
      <c r="C72" s="2" t="s">
        <v>50</v>
      </c>
      <c r="D72" s="2" t="s">
        <v>176</v>
      </c>
      <c r="E72" s="2" t="s">
        <v>176</v>
      </c>
      <c r="F72" s="3">
        <v>-1250</v>
      </c>
      <c r="G72" s="2">
        <v>0</v>
      </c>
      <c r="H72" s="2">
        <v>-7130</v>
      </c>
      <c r="I72" s="2">
        <v>-5833</v>
      </c>
    </row>
    <row r="73">
      <c r="A73" s="2">
        <v>71</v>
      </c>
      <c r="B73" s="2" t="s">
        <v>177</v>
      </c>
      <c r="C73" s="2" t="s">
        <v>50</v>
      </c>
      <c r="D73" s="2">
        <v>25017311271</v>
      </c>
      <c r="E73" s="2" t="s">
        <v>183</v>
      </c>
      <c r="F73" s="3">
        <v>-1250</v>
      </c>
      <c r="G73" s="2">
        <v>0</v>
      </c>
      <c r="H73" s="2">
        <v>-7130</v>
      </c>
      <c r="I73" s="2">
        <v>-5833</v>
      </c>
    </row>
    <row r="74">
      <c r="A74" s="2">
        <v>72</v>
      </c>
      <c r="B74" s="2" t="s">
        <v>175</v>
      </c>
      <c r="C74" s="2" t="s">
        <v>56</v>
      </c>
      <c r="D74" s="2" t="s">
        <v>176</v>
      </c>
      <c r="E74" s="2" t="s">
        <v>176</v>
      </c>
      <c r="F74" s="3">
        <v>-1250</v>
      </c>
      <c r="G74" s="2">
        <v>0</v>
      </c>
      <c r="H74" s="2">
        <v>-21225</v>
      </c>
      <c r="I74" s="2">
        <v>-17366</v>
      </c>
    </row>
    <row r="75">
      <c r="A75" s="2">
        <v>73</v>
      </c>
      <c r="B75" s="2" t="s">
        <v>177</v>
      </c>
      <c r="C75" s="2" t="s">
        <v>56</v>
      </c>
      <c r="D75" s="2">
        <v>23100850493</v>
      </c>
      <c r="E75" s="2" t="s">
        <v>199</v>
      </c>
      <c r="F75" s="3">
        <v>-420</v>
      </c>
      <c r="G75" s="2">
        <v>0</v>
      </c>
      <c r="H75" s="2">
        <v>-7130</v>
      </c>
      <c r="I75" s="2">
        <v>-5833</v>
      </c>
    </row>
    <row r="76">
      <c r="A76" s="2">
        <v>74</v>
      </c>
      <c r="B76" s="2" t="s">
        <v>177</v>
      </c>
      <c r="C76" s="2" t="s">
        <v>56</v>
      </c>
      <c r="D76" s="2">
        <v>19765465163</v>
      </c>
      <c r="E76" s="2" t="s">
        <v>184</v>
      </c>
      <c r="F76" s="3">
        <v>-420</v>
      </c>
      <c r="G76" s="2">
        <v>0</v>
      </c>
      <c r="H76" s="2">
        <v>-7130</v>
      </c>
      <c r="I76" s="2">
        <v>-5833</v>
      </c>
    </row>
    <row r="77">
      <c r="A77" s="2">
        <v>75</v>
      </c>
      <c r="B77" s="2" t="s">
        <v>177</v>
      </c>
      <c r="C77" s="2" t="s">
        <v>56</v>
      </c>
      <c r="D77" s="2">
        <v>23755961664</v>
      </c>
      <c r="E77" s="2" t="s">
        <v>201</v>
      </c>
      <c r="F77" s="3">
        <v>-410</v>
      </c>
      <c r="G77" s="2">
        <v>0</v>
      </c>
      <c r="H77" s="2">
        <v>-6965</v>
      </c>
      <c r="I77" s="2">
        <v>-5700</v>
      </c>
    </row>
    <row r="78">
      <c r="A78" s="2">
        <v>76</v>
      </c>
      <c r="B78" s="2" t="s">
        <v>175</v>
      </c>
      <c r="C78" s="2" t="s">
        <v>62</v>
      </c>
      <c r="D78" s="2" t="s">
        <v>176</v>
      </c>
      <c r="E78" s="2" t="s">
        <v>176</v>
      </c>
      <c r="F78" s="3">
        <v>-1250</v>
      </c>
      <c r="G78" s="2">
        <v>0</v>
      </c>
      <c r="H78" s="2">
        <v>-20851</v>
      </c>
      <c r="I78" s="2">
        <v>-17060</v>
      </c>
    </row>
    <row r="79">
      <c r="A79" s="2">
        <v>77</v>
      </c>
      <c r="B79" s="2" t="s">
        <v>177</v>
      </c>
      <c r="C79" s="2" t="s">
        <v>62</v>
      </c>
      <c r="D79" s="2">
        <v>16598366925</v>
      </c>
      <c r="E79" s="2" t="s">
        <v>185</v>
      </c>
      <c r="F79" s="3">
        <v>-832</v>
      </c>
      <c r="G79" s="2">
        <v>0</v>
      </c>
      <c r="H79" s="2">
        <v>-13885</v>
      </c>
      <c r="I79" s="2">
        <v>-11361</v>
      </c>
    </row>
    <row r="80">
      <c r="A80" s="2">
        <v>78</v>
      </c>
      <c r="B80" s="2" t="s">
        <v>177</v>
      </c>
      <c r="C80" s="2" t="s">
        <v>62</v>
      </c>
      <c r="D80" s="2">
        <v>16598366925</v>
      </c>
      <c r="E80" s="2" t="s">
        <v>185</v>
      </c>
      <c r="F80" s="3">
        <v>-418</v>
      </c>
      <c r="G80" s="2">
        <v>0</v>
      </c>
      <c r="H80" s="2">
        <v>-6966</v>
      </c>
      <c r="I80" s="2">
        <v>-5699</v>
      </c>
    </row>
    <row r="81"/>
    <row r="82"/>
    <row r="83">
      <c r="A83" s="1" t="s"/>
      <c r="B83" s="1" t="s"/>
      <c r="C83" s="1" t="s"/>
      <c r="D83" s="1" t="s"/>
      <c r="E83" s="1" t="s"/>
      <c r="F83" s="1" t="s"/>
      <c r="G83" s="1" t="s"/>
      <c r="H83" s="3" t="s"/>
      <c r="I83" s="3" t="s"/>
    </row>
    <row r="84">
      <c r="A84" s="1" t="s"/>
      <c r="B84" s="1" t="s"/>
      <c r="C84" s="1" t="s"/>
      <c r="D84" s="1" t="s"/>
      <c r="E84" s="1" t="s"/>
      <c r="F84" s="1" t="s"/>
      <c r="G84" s="1" t="s"/>
      <c r="H84" s="3" t="s"/>
      <c r="I84" s="3" t="s"/>
    </row>
    <row r="85">
      <c r="A85" s="1" t="s"/>
      <c r="B85" s="1" t="s"/>
      <c r="C85" s="1" t="s"/>
      <c r="D85" s="1" t="s"/>
      <c r="E85" s="1" t="s"/>
      <c r="F85" s="1" t="s"/>
      <c r="G85" s="1" t="s"/>
      <c r="H85" s="3" t="s"/>
      <c r="I85" s="3" t="s"/>
      <c r="J85" s="3" t="s"/>
    </row>
    <row r="86">
      <c r="A86" s="1" t="s"/>
      <c r="B86" s="1" t="s"/>
      <c r="C86" s="1" t="s"/>
      <c r="D86" s="1" t="s"/>
      <c r="E86" s="1" t="s"/>
      <c r="F86" s="1" t="s"/>
      <c r="G86" s="1" t="s"/>
      <c r="H86" s="3" t="s"/>
      <c r="I86" s="3" t="s"/>
      <c r="J86" s="3" t="s"/>
    </row>
    <row r="87">
      <c r="A87" s="1" t="s"/>
      <c r="B87" s="1" t="s"/>
      <c r="C87" s="1" t="s"/>
      <c r="D87" s="1" t="s"/>
      <c r="E87" s="1" t="s"/>
      <c r="F87" s="1" t="s"/>
      <c r="G87" s="1" t="s"/>
      <c r="H87" s="1" t="s"/>
      <c r="I87" s="3" t="s"/>
      <c r="J87" s="3" t="s"/>
    </row>
    <row r="88">
      <c r="A88" s="1" t="s"/>
      <c r="B88" s="1" t="s"/>
      <c r="C88" s="1" t="s"/>
      <c r="D88" s="1" t="s"/>
      <c r="E88" s="1" t="s"/>
      <c r="F88" s="1" t="s"/>
      <c r="G88" s="1" t="s"/>
      <c r="H88" s="1" t="s"/>
      <c r="I88" s="3" t="s"/>
      <c r="J88" s="3" t="s"/>
    </row>
  </sheetData>
  <mergeCells count="1">
    <mergeCell ref="G1:I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